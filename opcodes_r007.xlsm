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thomas\Documents\Computer\"/>
    </mc:Choice>
  </mc:AlternateContent>
  <xr:revisionPtr revIDLastSave="0" documentId="8_{7D1C0138-C505-4CB1-817F-81E53B0E178D}" xr6:coauthVersionLast="43" xr6:coauthVersionMax="43" xr10:uidLastSave="{00000000-0000-0000-0000-000000000000}"/>
  <bookViews>
    <workbookView xWindow="-120" yWindow="-120" windowWidth="38640" windowHeight="21240" xr2:uid="{00000000-000D-0000-FFFF-FFFF00000000}"/>
  </bookViews>
  <sheets>
    <sheet name="Readme" sheetId="3" r:id="rId1"/>
    <sheet name="Task List" sheetId="16" r:id="rId2"/>
    <sheet name="ISA Truth Table" sheetId="15" r:id="rId3"/>
    <sheet name="ISA TT" sheetId="2" r:id="rId4"/>
    <sheet name="HLBD" sheetId="1" r:id="rId5"/>
    <sheet name="Compiler" sheetId="7" r:id="rId6"/>
    <sheet name="Test Benches" sheetId="8" r:id="rId7"/>
    <sheet name="TT r2" sheetId="10" r:id="rId8"/>
    <sheet name="TT r3" sheetId="14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2" i="8" l="1"/>
  <c r="D94" i="8"/>
  <c r="D89" i="8"/>
  <c r="D92" i="8"/>
  <c r="D91" i="8"/>
  <c r="D81" i="8"/>
  <c r="D68" i="8"/>
  <c r="D75" i="8"/>
  <c r="D59" i="8"/>
  <c r="D70" i="8"/>
  <c r="D61" i="8"/>
  <c r="D32" i="8"/>
  <c r="D90" i="8"/>
  <c r="D85" i="8"/>
  <c r="D88" i="8"/>
  <c r="D87" i="8"/>
  <c r="D41" i="8"/>
  <c r="D64" i="8"/>
  <c r="D71" i="8"/>
  <c r="D58" i="8"/>
  <c r="D66" i="8"/>
  <c r="D36" i="8"/>
  <c r="D84" i="8"/>
  <c r="D83" i="8"/>
  <c r="D97" i="8"/>
  <c r="D80" i="8"/>
  <c r="D79" i="8"/>
  <c r="D82" i="8"/>
  <c r="D76" i="8"/>
  <c r="D60" i="8"/>
  <c r="D67" i="8"/>
  <c r="D69" i="8"/>
  <c r="D62" i="8"/>
  <c r="D35" i="8"/>
  <c r="D93" i="8"/>
  <c r="D96" i="8"/>
  <c r="D95" i="8"/>
  <c r="D86" i="8"/>
  <c r="D72" i="8"/>
  <c r="D65" i="8"/>
  <c r="D63" i="8"/>
  <c r="D74" i="8"/>
  <c r="D73" i="8"/>
  <c r="D34" i="8"/>
  <c r="D98" i="8"/>
  <c r="F83" i="8" l="1"/>
  <c r="H83" i="8" s="1"/>
  <c r="J83" i="8"/>
  <c r="K83" i="8" s="1"/>
  <c r="J81" i="8"/>
  <c r="K81" i="8" s="1"/>
  <c r="F81" i="8"/>
  <c r="H81" i="8" s="1"/>
  <c r="J86" i="8"/>
  <c r="K86" i="8" s="1"/>
  <c r="F86" i="8"/>
  <c r="H86" i="8" s="1"/>
  <c r="F82" i="8"/>
  <c r="H82" i="8" s="1"/>
  <c r="J82" i="8"/>
  <c r="K82" i="8" s="1"/>
  <c r="F87" i="8"/>
  <c r="H87" i="8" s="1"/>
  <c r="J87" i="8"/>
  <c r="K87" i="8" s="1"/>
  <c r="J91" i="8"/>
  <c r="K91" i="8" s="1"/>
  <c r="F91" i="8"/>
  <c r="H91" i="8" s="1"/>
  <c r="J95" i="8"/>
  <c r="K95" i="8" s="1"/>
  <c r="F95" i="8"/>
  <c r="H95" i="8" s="1"/>
  <c r="F79" i="8"/>
  <c r="H79" i="8" s="1"/>
  <c r="J79" i="8"/>
  <c r="K79" i="8" s="1"/>
  <c r="F84" i="8"/>
  <c r="H84" i="8" s="1"/>
  <c r="J84" i="8"/>
  <c r="K84" i="8" s="1"/>
  <c r="F88" i="8"/>
  <c r="H88" i="8" s="1"/>
  <c r="J88" i="8"/>
  <c r="K88" i="8" s="1"/>
  <c r="F92" i="8"/>
  <c r="H92" i="8" s="1"/>
  <c r="J92" i="8"/>
  <c r="K92" i="8" s="1"/>
  <c r="F96" i="8"/>
  <c r="H96" i="8" s="1"/>
  <c r="J96" i="8"/>
  <c r="K96" i="8" s="1"/>
  <c r="F80" i="8"/>
  <c r="H80" i="8" s="1"/>
  <c r="J80" i="8"/>
  <c r="K80" i="8" s="1"/>
  <c r="F85" i="8"/>
  <c r="H85" i="8" s="1"/>
  <c r="J85" i="8"/>
  <c r="K85" i="8" s="1"/>
  <c r="J89" i="8"/>
  <c r="K89" i="8" s="1"/>
  <c r="F89" i="8"/>
  <c r="H89" i="8" s="1"/>
  <c r="F93" i="8"/>
  <c r="H93" i="8" s="1"/>
  <c r="J93" i="8"/>
  <c r="K93" i="8" s="1"/>
  <c r="F97" i="8"/>
  <c r="H97" i="8" s="1"/>
  <c r="J97" i="8"/>
  <c r="K97" i="8" s="1"/>
  <c r="J90" i="8"/>
  <c r="K90" i="8" s="1"/>
  <c r="F90" i="8"/>
  <c r="H90" i="8" s="1"/>
  <c r="J94" i="8"/>
  <c r="K94" i="8" s="1"/>
  <c r="F94" i="8"/>
  <c r="H94" i="8" s="1"/>
  <c r="J98" i="8"/>
  <c r="K98" i="8" s="1"/>
  <c r="F98" i="8"/>
  <c r="H98" i="8" s="1"/>
  <c r="J41" i="8"/>
  <c r="K41" i="8" s="1"/>
  <c r="F41" i="8"/>
  <c r="H41" i="8" s="1"/>
  <c r="J61" i="8"/>
  <c r="K61" i="8" s="1"/>
  <c r="F61" i="8"/>
  <c r="H61" i="8" s="1"/>
  <c r="J73" i="8"/>
  <c r="K73" i="8" s="1"/>
  <c r="F73" i="8"/>
  <c r="H73" i="8" s="1"/>
  <c r="J62" i="8"/>
  <c r="K62" i="8" s="1"/>
  <c r="F62" i="8"/>
  <c r="H62" i="8" s="1"/>
  <c r="F66" i="8"/>
  <c r="H66" i="8" s="1"/>
  <c r="J66" i="8"/>
  <c r="K66" i="8" s="1"/>
  <c r="J70" i="8"/>
  <c r="K70" i="8" s="1"/>
  <c r="F70" i="8"/>
  <c r="H70" i="8" s="1"/>
  <c r="J74" i="8"/>
  <c r="K74" i="8" s="1"/>
  <c r="F74" i="8"/>
  <c r="H74" i="8" s="1"/>
  <c r="J69" i="8"/>
  <c r="K69" i="8" s="1"/>
  <c r="F69" i="8"/>
  <c r="H69" i="8" s="1"/>
  <c r="J58" i="8"/>
  <c r="K58" i="8" s="1"/>
  <c r="F58" i="8"/>
  <c r="H58" i="8" s="1"/>
  <c r="F59" i="8"/>
  <c r="H59" i="8" s="1"/>
  <c r="J59" i="8"/>
  <c r="K59" i="8" s="1"/>
  <c r="F63" i="8"/>
  <c r="H63" i="8" s="1"/>
  <c r="J63" i="8"/>
  <c r="K63" i="8" s="1"/>
  <c r="F67" i="8"/>
  <c r="H67" i="8" s="1"/>
  <c r="J67" i="8"/>
  <c r="K67" i="8" s="1"/>
  <c r="F71" i="8"/>
  <c r="H71" i="8" s="1"/>
  <c r="J71" i="8"/>
  <c r="K71" i="8" s="1"/>
  <c r="F75" i="8"/>
  <c r="H75" i="8" s="1"/>
  <c r="J75" i="8"/>
  <c r="K75" i="8" s="1"/>
  <c r="J65" i="8"/>
  <c r="K65" i="8" s="1"/>
  <c r="F65" i="8"/>
  <c r="H65" i="8" s="1"/>
  <c r="F60" i="8"/>
  <c r="H60" i="8" s="1"/>
  <c r="J60" i="8"/>
  <c r="K60" i="8" s="1"/>
  <c r="J64" i="8"/>
  <c r="K64" i="8" s="1"/>
  <c r="F64" i="8"/>
  <c r="H64" i="8" s="1"/>
  <c r="F68" i="8"/>
  <c r="H68" i="8" s="1"/>
  <c r="J68" i="8"/>
  <c r="K68" i="8" s="1"/>
  <c r="F72" i="8"/>
  <c r="H72" i="8" s="1"/>
  <c r="J72" i="8"/>
  <c r="K72" i="8" s="1"/>
  <c r="J76" i="8"/>
  <c r="K76" i="8" s="1"/>
  <c r="F76" i="8"/>
  <c r="H76" i="8" s="1"/>
  <c r="J36" i="8"/>
  <c r="K36" i="8" s="1"/>
  <c r="F36" i="8"/>
  <c r="H36" i="8" s="1"/>
  <c r="J35" i="8"/>
  <c r="K35" i="8" s="1"/>
  <c r="F35" i="8"/>
  <c r="H35" i="8" s="1"/>
  <c r="J34" i="8"/>
  <c r="K34" i="8" s="1"/>
  <c r="F34" i="8"/>
  <c r="H34" i="8" s="1"/>
  <c r="C31" i="8"/>
  <c r="C30" i="8"/>
  <c r="C29" i="8"/>
  <c r="C28" i="8"/>
  <c r="C27" i="8"/>
  <c r="C26" i="8"/>
  <c r="C25" i="8"/>
  <c r="C24" i="8"/>
  <c r="C23" i="8"/>
  <c r="C22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40" i="7"/>
  <c r="D42" i="8"/>
  <c r="D44" i="8"/>
  <c r="D45" i="8"/>
  <c r="D49" i="8"/>
  <c r="D37" i="8"/>
  <c r="D19" i="8"/>
  <c r="D14" i="8"/>
  <c r="D7" i="8"/>
  <c r="D13" i="8"/>
  <c r="D12" i="8"/>
  <c r="D18" i="8"/>
  <c r="D25" i="8"/>
  <c r="D52" i="8"/>
  <c r="D46" i="8"/>
  <c r="D29" i="8"/>
  <c r="D3" i="8"/>
  <c r="D31" i="8"/>
  <c r="D26" i="8"/>
  <c r="D47" i="8"/>
  <c r="D2" i="8"/>
  <c r="D17" i="8"/>
  <c r="D11" i="8"/>
  <c r="D10" i="8"/>
  <c r="D53" i="8"/>
  <c r="D38" i="8"/>
  <c r="D50" i="8"/>
  <c r="D43" i="8"/>
  <c r="D28" i="8"/>
  <c r="D21" i="8"/>
  <c r="D15" i="8"/>
  <c r="D23" i="8"/>
  <c r="D6" i="8"/>
  <c r="D5" i="8"/>
  <c r="D27" i="8"/>
  <c r="D4" i="8"/>
  <c r="D51" i="8"/>
  <c r="D40" i="8"/>
  <c r="D9" i="8"/>
  <c r="D30" i="8"/>
  <c r="D8" i="8"/>
  <c r="D48" i="8"/>
  <c r="D39" i="8"/>
  <c r="D22" i="8"/>
  <c r="D20" i="8"/>
  <c r="D24" i="8"/>
  <c r="D16" i="8"/>
  <c r="J25" i="8" l="1"/>
  <c r="J26" i="8"/>
  <c r="J27" i="8"/>
  <c r="J31" i="8"/>
  <c r="J24" i="8"/>
  <c r="J30" i="8"/>
  <c r="J23" i="8"/>
  <c r="J29" i="8"/>
  <c r="J28" i="8"/>
  <c r="J37" i="8"/>
  <c r="K37" i="8" s="1"/>
  <c r="F37" i="8"/>
  <c r="H37" i="8" s="1"/>
  <c r="F40" i="8"/>
  <c r="H40" i="8" s="1"/>
  <c r="J40" i="8"/>
  <c r="K40" i="8" s="1"/>
  <c r="J43" i="8"/>
  <c r="K43" i="8" s="1"/>
  <c r="F43" i="8"/>
  <c r="H43" i="8" s="1"/>
  <c r="F49" i="8"/>
  <c r="H49" i="8" s="1"/>
  <c r="J49" i="8"/>
  <c r="K49" i="8" s="1"/>
  <c r="F39" i="8"/>
  <c r="H39" i="8" s="1"/>
  <c r="J39" i="8"/>
  <c r="K39" i="8" s="1"/>
  <c r="J46" i="8"/>
  <c r="K46" i="8" s="1"/>
  <c r="F46" i="8"/>
  <c r="H46" i="8" s="1"/>
  <c r="F50" i="8"/>
  <c r="H50" i="8" s="1"/>
  <c r="J50" i="8"/>
  <c r="K50" i="8" s="1"/>
  <c r="J45" i="8"/>
  <c r="K45" i="8" s="1"/>
  <c r="F45" i="8"/>
  <c r="H45" i="8" s="1"/>
  <c r="F47" i="8"/>
  <c r="H47" i="8" s="1"/>
  <c r="J47" i="8"/>
  <c r="K47" i="8" s="1"/>
  <c r="F51" i="8"/>
  <c r="H51" i="8" s="1"/>
  <c r="J51" i="8"/>
  <c r="K51" i="8" s="1"/>
  <c r="F38" i="8"/>
  <c r="H38" i="8" s="1"/>
  <c r="J38" i="8"/>
  <c r="K38" i="8" s="1"/>
  <c r="F44" i="8"/>
  <c r="H44" i="8" s="1"/>
  <c r="J44" i="8"/>
  <c r="K44" i="8" s="1"/>
  <c r="J48" i="8"/>
  <c r="K48" i="8" s="1"/>
  <c r="F48" i="8"/>
  <c r="H48" i="8" s="1"/>
  <c r="F52" i="8"/>
  <c r="H52" i="8" s="1"/>
  <c r="J52" i="8"/>
  <c r="K52" i="8" s="1"/>
  <c r="F53" i="8"/>
  <c r="H53" i="8" s="1"/>
  <c r="J53" i="8"/>
  <c r="K53" i="8" s="1"/>
  <c r="F42" i="8"/>
  <c r="H42" i="8" s="1"/>
  <c r="J42" i="8"/>
  <c r="K42" i="8" s="1"/>
  <c r="J2" i="8"/>
  <c r="F2" i="8"/>
  <c r="H2" i="8" s="1"/>
  <c r="J7" i="8"/>
  <c r="J22" i="8"/>
  <c r="J6" i="8"/>
  <c r="J17" i="8"/>
  <c r="J20" i="8"/>
  <c r="J4" i="8"/>
  <c r="J19" i="8"/>
  <c r="J3" i="8"/>
  <c r="J18" i="8"/>
  <c r="J13" i="8"/>
  <c r="J9" i="8"/>
  <c r="J8" i="8"/>
  <c r="J16" i="8"/>
  <c r="J15" i="8"/>
  <c r="J14" i="8"/>
  <c r="J12" i="8"/>
  <c r="J11" i="8"/>
  <c r="J10" i="8"/>
  <c r="J21" i="8"/>
  <c r="J5" i="8"/>
  <c r="F28" i="8"/>
  <c r="H28" i="8" s="1"/>
  <c r="F3" i="8"/>
  <c r="H3" i="8" s="1"/>
  <c r="F10" i="8"/>
  <c r="H10" i="8" s="1"/>
  <c r="F7" i="8"/>
  <c r="H7" i="8" s="1"/>
  <c r="F15" i="8"/>
  <c r="H15" i="8" s="1"/>
  <c r="F23" i="8"/>
  <c r="H23" i="8" s="1"/>
  <c r="F31" i="8"/>
  <c r="H31" i="8" s="1"/>
  <c r="F8" i="8"/>
  <c r="H8" i="8" s="1"/>
  <c r="F16" i="8"/>
  <c r="H16" i="8" s="1"/>
  <c r="F24" i="8"/>
  <c r="H24" i="8" s="1"/>
  <c r="F9" i="8"/>
  <c r="H9" i="8" s="1"/>
  <c r="F17" i="8"/>
  <c r="H17" i="8" s="1"/>
  <c r="F25" i="8"/>
  <c r="H25" i="8" s="1"/>
  <c r="F18" i="8"/>
  <c r="H18" i="8" s="1"/>
  <c r="F26" i="8"/>
  <c r="H26" i="8" s="1"/>
  <c r="F11" i="8"/>
  <c r="H11" i="8" s="1"/>
  <c r="F19" i="8"/>
  <c r="H19" i="8" s="1"/>
  <c r="F27" i="8"/>
  <c r="H27" i="8" s="1"/>
  <c r="F4" i="8"/>
  <c r="H4" i="8" s="1"/>
  <c r="F12" i="8"/>
  <c r="H12" i="8" s="1"/>
  <c r="F20" i="8"/>
  <c r="H20" i="8" s="1"/>
  <c r="F5" i="8"/>
  <c r="H5" i="8" s="1"/>
  <c r="F13" i="8"/>
  <c r="H13" i="8" s="1"/>
  <c r="F21" i="8"/>
  <c r="H21" i="8" s="1"/>
  <c r="F29" i="8"/>
  <c r="H29" i="8" s="1"/>
  <c r="F6" i="8"/>
  <c r="H6" i="8" s="1"/>
  <c r="F14" i="8"/>
  <c r="H14" i="8" s="1"/>
  <c r="F22" i="8"/>
  <c r="H22" i="8" s="1"/>
  <c r="F30" i="8"/>
  <c r="H30" i="8" s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1" i="7"/>
  <c r="C42" i="7"/>
  <c r="C43" i="7"/>
  <c r="C44" i="7"/>
  <c r="C1" i="7"/>
  <c r="P6" i="2"/>
  <c r="P7" i="2"/>
  <c r="P8" i="2"/>
  <c r="P9" i="2"/>
  <c r="P10" i="2"/>
  <c r="P11" i="2"/>
  <c r="P12" i="2"/>
  <c r="P5" i="2"/>
  <c r="D28" i="7"/>
  <c r="D33" i="7"/>
  <c r="D46" i="7"/>
  <c r="D26" i="7"/>
  <c r="D75" i="7"/>
  <c r="D81" i="7"/>
  <c r="D64" i="7"/>
  <c r="D74" i="7"/>
  <c r="D66" i="7"/>
  <c r="D49" i="7"/>
  <c r="D67" i="7"/>
  <c r="D44" i="7"/>
  <c r="D25" i="7"/>
  <c r="D40" i="7"/>
  <c r="D41" i="7"/>
  <c r="D36" i="7"/>
  <c r="D70" i="7"/>
  <c r="D9" i="7"/>
  <c r="D1" i="7"/>
  <c r="D31" i="7"/>
  <c r="D13" i="7"/>
  <c r="D63" i="7"/>
  <c r="D37" i="7"/>
  <c r="D55" i="7"/>
  <c r="D60" i="7"/>
  <c r="D11" i="7"/>
  <c r="D5" i="7"/>
  <c r="D14" i="7"/>
  <c r="D76" i="7"/>
  <c r="D6" i="7"/>
  <c r="D71" i="7"/>
  <c r="D43" i="7"/>
  <c r="D82" i="7"/>
  <c r="D15" i="7"/>
  <c r="D21" i="7"/>
  <c r="D78" i="7"/>
  <c r="D38" i="7"/>
  <c r="D73" i="7"/>
  <c r="D30" i="7"/>
  <c r="D53" i="7"/>
  <c r="D77" i="7"/>
  <c r="D35" i="7"/>
  <c r="D45" i="7"/>
  <c r="D57" i="7"/>
  <c r="D68" i="7"/>
  <c r="D10" i="7"/>
  <c r="D47" i="7"/>
  <c r="D56" i="7"/>
  <c r="D42" i="7"/>
  <c r="D7" i="7"/>
  <c r="D27" i="7"/>
  <c r="D23" i="7"/>
  <c r="D58" i="7"/>
  <c r="D50" i="7"/>
  <c r="D18" i="7"/>
  <c r="D2" i="7"/>
  <c r="D59" i="7"/>
  <c r="D16" i="7"/>
  <c r="D80" i="7"/>
  <c r="D62" i="7"/>
  <c r="D83" i="7"/>
  <c r="D32" i="7"/>
  <c r="D24" i="7"/>
  <c r="D72" i="7"/>
  <c r="D3" i="7"/>
  <c r="D51" i="7"/>
  <c r="D39" i="7"/>
  <c r="D65" i="7"/>
  <c r="D29" i="7"/>
  <c r="D54" i="7"/>
  <c r="D34" i="7"/>
  <c r="D79" i="7"/>
  <c r="D20" i="7"/>
  <c r="D52" i="7"/>
  <c r="D19" i="7"/>
  <c r="D84" i="7"/>
  <c r="D61" i="7"/>
  <c r="D17" i="7"/>
  <c r="D69" i="7"/>
  <c r="D48" i="7"/>
  <c r="D8" i="7"/>
  <c r="D12" i="7"/>
  <c r="D4" i="7"/>
  <c r="D22" i="7"/>
</calcChain>
</file>

<file path=xl/sharedStrings.xml><?xml version="1.0" encoding="utf-8"?>
<sst xmlns="http://schemas.openxmlformats.org/spreadsheetml/2006/main" count="718" uniqueCount="134">
  <si>
    <t>Instructions: Rev1</t>
  </si>
  <si>
    <t xml:space="preserve">LDa C     </t>
  </si>
  <si>
    <t xml:space="preserve">LDa P     </t>
  </si>
  <si>
    <t xml:space="preserve">LDb C     </t>
  </si>
  <si>
    <t xml:space="preserve">LDb P     </t>
  </si>
  <si>
    <t xml:space="preserve">STa P     </t>
  </si>
  <si>
    <t xml:space="preserve">OUTA     </t>
  </si>
  <si>
    <t>Executes Defined</t>
  </si>
  <si>
    <t>Inst</t>
  </si>
  <si>
    <t>Clk PC</t>
  </si>
  <si>
    <t>WE_a</t>
  </si>
  <si>
    <t>NOP</t>
  </si>
  <si>
    <t>PC_CLK?</t>
  </si>
  <si>
    <t>WE?</t>
  </si>
  <si>
    <t>Opcode</t>
  </si>
  <si>
    <t>DP</t>
  </si>
  <si>
    <t>A</t>
  </si>
  <si>
    <t>OE?</t>
  </si>
  <si>
    <t>PC, RAM</t>
  </si>
  <si>
    <t>RAM,DP</t>
  </si>
  <si>
    <t>WE_b</t>
  </si>
  <si>
    <t>B</t>
  </si>
  <si>
    <t>x = 2</t>
  </si>
  <si>
    <t>y = 3</t>
  </si>
  <si>
    <t>z = x + y</t>
  </si>
  <si>
    <t>LDaC = 2</t>
  </si>
  <si>
    <t>LDaC = 3</t>
  </si>
  <si>
    <t>STaP = x</t>
  </si>
  <si>
    <t>STaP = y</t>
  </si>
  <si>
    <t>LDaP = x</t>
  </si>
  <si>
    <t>LDbP = y</t>
  </si>
  <si>
    <t xml:space="preserve">Add &amp; STaP    </t>
  </si>
  <si>
    <t>A&amp;STaP = z</t>
  </si>
  <si>
    <t>nop…</t>
  </si>
  <si>
    <t>WE_mem</t>
  </si>
  <si>
    <t>RAM</t>
  </si>
  <si>
    <t>A, DP</t>
  </si>
  <si>
    <t xml:space="preserve">ADD &amp; STa P     </t>
  </si>
  <si>
    <t xml:space="preserve">OUTA   </t>
  </si>
  <si>
    <t>OUT</t>
  </si>
  <si>
    <t>Control Signals</t>
  </si>
  <si>
    <t>y = 2 + x</t>
  </si>
  <si>
    <t>LDbC = 2</t>
  </si>
  <si>
    <t>ADD&amp;STaP = y</t>
  </si>
  <si>
    <t>where x = 0x10, y = 0x11</t>
  </si>
  <si>
    <t>x = 5</t>
  </si>
  <si>
    <t>LDaC = 5</t>
  </si>
  <si>
    <t>Instruction Memory</t>
  </si>
  <si>
    <t>LDaC : 5</t>
  </si>
  <si>
    <t>STaP:</t>
  </si>
  <si>
    <t>X</t>
  </si>
  <si>
    <t>LDaP:</t>
  </si>
  <si>
    <t>LDbC: 2</t>
  </si>
  <si>
    <t>ADD&amp;STaP:</t>
  </si>
  <si>
    <t>Y</t>
  </si>
  <si>
    <t>Const</t>
  </si>
  <si>
    <t xml:space="preserve">C </t>
  </si>
  <si>
    <t>P</t>
  </si>
  <si>
    <t>x</t>
  </si>
  <si>
    <t>ID#</t>
  </si>
  <si>
    <t>One if pointer follows</t>
  </si>
  <si>
    <t>One if Constant follows</t>
  </si>
  <si>
    <t>Instruction SET Inputs:</t>
  </si>
  <si>
    <t>WE's</t>
  </si>
  <si>
    <t>PC</t>
  </si>
  <si>
    <t>OE's</t>
  </si>
  <si>
    <t>ADD</t>
  </si>
  <si>
    <t>This document works through the ISA</t>
  </si>
  <si>
    <t>Change log:</t>
  </si>
  <si>
    <t>r001 - original version</t>
  </si>
  <si>
    <t>r002 - removed full byte pvalues in favor of including that data in the instruction</t>
  </si>
  <si>
    <t>No Clk PC</t>
  </si>
  <si>
    <t>Example:</t>
  </si>
  <si>
    <t>PC/RAM</t>
  </si>
  <si>
    <t>secndry</t>
  </si>
  <si>
    <t>Lda P2</t>
  </si>
  <si>
    <t>LDb P2</t>
  </si>
  <si>
    <t>Sta P2</t>
  </si>
  <si>
    <t>Add &amp; STaP2</t>
  </si>
  <si>
    <t>LDa_C</t>
  </si>
  <si>
    <t>LDb_P</t>
  </si>
  <si>
    <t xml:space="preserve">LDa_C     </t>
  </si>
  <si>
    <t xml:space="preserve">LDa_P     </t>
  </si>
  <si>
    <t>LDb_C</t>
  </si>
  <si>
    <t>STa_P</t>
  </si>
  <si>
    <t>ADD_SP</t>
  </si>
  <si>
    <t>OUTA</t>
  </si>
  <si>
    <t>,</t>
  </si>
  <si>
    <t>ISA Truth Table: r003</t>
  </si>
  <si>
    <t>ISA Truth Table: r002</t>
  </si>
  <si>
    <t>Had to clear because we don’t want ALU driving while RAM is also driving.</t>
  </si>
  <si>
    <t>Could have solid shorts to GND.  Who knows what that could cause</t>
  </si>
  <si>
    <t>r003 - configured PC/RAM OE to 0 for OUTA (see sheet TTr2)</t>
  </si>
  <si>
    <t>PC, A</t>
  </si>
  <si>
    <t>IO/s</t>
  </si>
  <si>
    <t>PC/DPn</t>
  </si>
  <si>
    <t>Full write?</t>
  </si>
  <si>
    <t>0001</t>
  </si>
  <si>
    <t>0101</t>
  </si>
  <si>
    <t>LDa_P</t>
  </si>
  <si>
    <t>0000</t>
  </si>
  <si>
    <t>0110</t>
  </si>
  <si>
    <t>0011</t>
  </si>
  <si>
    <t>RAMn/ALU</t>
  </si>
  <si>
    <t>nRAM</t>
  </si>
  <si>
    <t xml:space="preserve"> </t>
  </si>
  <si>
    <t>##TEST LDb_P</t>
  </si>
  <si>
    <t>##TEST LDa_P</t>
  </si>
  <si>
    <t>##TEST ADD&amp;STa</t>
  </si>
  <si>
    <t>ISA Truth Table: r006</t>
  </si>
  <si>
    <t>##This seems to be working in system (7/12), a minor problem with pointers still</t>
  </si>
  <si>
    <t>r004/5 - flipped polarity of RAM OE and WE because its active low</t>
  </si>
  <si>
    <t>r006 - tried to finalize once I have it working in system.  Cleaned up extra sheets</t>
  </si>
  <si>
    <t>Future Additions:</t>
  </si>
  <si>
    <t>Branching in ISA</t>
  </si>
  <si>
    <t>An idea to demonstrate capabilities</t>
  </si>
  <si>
    <t>GPIO expander for Arduino</t>
  </si>
  <si>
    <t>Add input capabilities to system</t>
  </si>
  <si>
    <t>cleanup bus routings with magnet wire</t>
  </si>
  <si>
    <t>BCH_OUT</t>
  </si>
  <si>
    <t>on BCH_OUT, both DP and PC are told by CTRL that Branching is enabled.  With this logic, the DP and PC use logic from OUT to determine who drives</t>
  </si>
  <si>
    <t>if BCH_CTRL from OUT_96 is (Y) then DP disables output, PC updates next clock cycle [this is continue]</t>
  </si>
  <si>
    <t>if BCH_CTRL from OUT_96 is (X) then DP passes its inputs through while PC turns all outputs into inputs and stores on next clock [this is branching]</t>
  </si>
  <si>
    <t>BCHs</t>
  </si>
  <si>
    <t>BCH_en</t>
  </si>
  <si>
    <t>Need to do</t>
  </si>
  <si>
    <t>*update CTRL to have BCH_en signal</t>
  </si>
  <si>
    <t>*update OUT to compare its output and wire those signals to PC+DP</t>
  </si>
  <si>
    <t xml:space="preserve">*PC needs to be configured to reverse the pins to input and save a value if told so </t>
  </si>
  <si>
    <t>*DP needs logic to buffer inputs if BCH_en and (X)</t>
  </si>
  <si>
    <t>*PC needs to set MSB to 0 when BCH_en is active</t>
  </si>
  <si>
    <t>*PC needs two additional inputs</t>
  </si>
  <si>
    <t>ISA Truth Table: r007</t>
  </si>
  <si>
    <t>r007 - working towards adding BCH_OUT instruction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</si>
</sst>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4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0" xfId="0" applyFill="1"/>
    <xf numFmtId="0" fontId="3" fillId="0" borderId="0" xfId="0" applyFont="1"/>
    <xf numFmtId="0" fontId="0" fillId="0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0" fillId="0" borderId="0" xfId="0" applyAlignment="1"/>
    <xf numFmtId="0" fontId="5" fillId="0" borderId="0" xfId="0" applyFont="1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1" xfId="0" applyFont="1" applyFill="1" applyBorder="1"/>
    <xf numFmtId="0" fontId="3" fillId="0" borderId="1" xfId="0" applyFont="1" applyBorder="1"/>
    <xf numFmtId="0" fontId="0" fillId="3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4" borderId="1" xfId="0" applyFill="1" applyBorder="1" applyAlignment="1">
      <alignment horizontal="right"/>
    </xf>
    <xf numFmtId="0" fontId="0" fillId="5" borderId="1" xfId="0" applyFill="1" applyBorder="1"/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2" xfId="0" applyBorder="1"/>
    <xf numFmtId="0" fontId="1" fillId="0" borderId="2" xfId="0" applyFont="1" applyBorder="1"/>
    <xf numFmtId="0" fontId="0" fillId="6" borderId="3" xfId="0" applyFill="1" applyBorder="1" applyAlignment="1">
      <alignment horizontal="center"/>
    </xf>
    <xf numFmtId="0" fontId="3" fillId="0" borderId="3" xfId="0" applyFont="1" applyBorder="1"/>
    <xf numFmtId="0" fontId="0" fillId="0" borderId="3" xfId="0" applyBorder="1"/>
    <xf numFmtId="0" fontId="1" fillId="0" borderId="4" xfId="0" applyFont="1" applyBorder="1"/>
    <xf numFmtId="0" fontId="0" fillId="3" borderId="5" xfId="0" applyFill="1" applyBorder="1" applyAlignment="1">
      <alignment horizontal="right"/>
    </xf>
    <xf numFmtId="0" fontId="0" fillId="0" borderId="5" xfId="0" applyBorder="1" applyAlignment="1">
      <alignment horizontal="right"/>
    </xf>
    <xf numFmtId="0" fontId="0" fillId="4" borderId="5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14" fontId="0" fillId="0" borderId="0" xfId="0" applyNumberFormat="1"/>
    <xf numFmtId="0" fontId="0" fillId="8" borderId="1" xfId="0" applyFill="1" applyBorder="1"/>
    <xf numFmtId="0" fontId="0" fillId="0" borderId="0" xfId="0" applyBorder="1"/>
    <xf numFmtId="0" fontId="0" fillId="0" borderId="0" xfId="0" applyBorder="1" applyAlignment="1">
      <alignment horizontal="center"/>
    </xf>
    <xf numFmtId="49" fontId="0" fillId="0" borderId="0" xfId="0" applyNumberFormat="1"/>
    <xf numFmtId="0" fontId="1" fillId="0" borderId="2" xfId="0" applyFont="1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/>
    <xf numFmtId="0" fontId="0" fillId="0" borderId="3" xfId="0" applyFill="1" applyBorder="1"/>
    <xf numFmtId="0" fontId="4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9" borderId="5" xfId="0" applyFill="1" applyBorder="1"/>
    <xf numFmtId="0" fontId="0" fillId="9" borderId="7" xfId="0" applyFill="1" applyBorder="1" applyAlignment="1">
      <alignment horizontal="center"/>
    </xf>
  </cellXfs>
  <cellStyles count="1">
    <cellStyle name="Normal" xfId="0" builtinId="0"/>
  </cellStyles>
  <dxfs count="152"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00B0F0"/>
        </patternFill>
      </fill>
    </dxf>
    <dxf>
      <font>
        <strike val="0"/>
      </font>
      <fill>
        <patternFill>
          <bgColor theme="5"/>
        </patternFill>
      </fill>
    </dxf>
    <dxf>
      <fill>
        <patternFill>
          <bgColor rgb="FF00B0F0"/>
        </patternFill>
      </fill>
    </dxf>
    <dxf>
      <font>
        <strike val="0"/>
      </font>
      <fill>
        <patternFill>
          <bgColor theme="5"/>
        </patternFill>
      </fill>
    </dxf>
    <dxf>
      <font>
        <strike val="0"/>
      </font>
      <fill>
        <patternFill>
          <bgColor theme="5"/>
        </patternFill>
      </fill>
    </dxf>
    <dxf>
      <font>
        <strike val="0"/>
      </font>
      <fill>
        <patternFill>
          <bgColor theme="5"/>
        </patternFill>
      </fill>
    </dxf>
    <dxf>
      <fill>
        <patternFill>
          <bgColor rgb="FF00B0F0"/>
        </patternFill>
      </fill>
    </dxf>
    <dxf>
      <font>
        <strike val="0"/>
      </font>
      <fill>
        <patternFill>
          <bgColor theme="5"/>
        </patternFill>
      </fill>
    </dxf>
    <dxf>
      <fill>
        <patternFill>
          <bgColor rgb="FF00B0F0"/>
        </patternFill>
      </fill>
    </dxf>
    <dxf>
      <font>
        <strike val="0"/>
      </font>
      <fill>
        <patternFill>
          <bgColor theme="5"/>
        </patternFill>
      </fill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CC66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6600"/>
      <color rgb="FFFF9933"/>
      <color rgb="FFBCA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34488</xdr:colOff>
      <xdr:row>0</xdr:row>
      <xdr:rowOff>123824</xdr:rowOff>
    </xdr:from>
    <xdr:to>
      <xdr:col>23</xdr:col>
      <xdr:colOff>546917</xdr:colOff>
      <xdr:row>33</xdr:row>
      <xdr:rowOff>141285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AB91F0-217D-42C9-A9B2-6D940FB5C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238" y="123824"/>
          <a:ext cx="9046828" cy="630396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DCCBD-06B9-41CB-B0BC-A8752A88FAB0}" name="Table16" displayName="Table16" ref="A3:O16" headerRowCount="0" totalsRowShown="0" headerRowDxfId="151" headerRowBorderDxfId="150" tableBorderDxfId="149" totalsRowBorderDxfId="148">
  <tableColumns count="15">
    <tableColumn id="1" xr3:uid="{1E41CC96-8D60-4E9A-90D1-C89C7673AB31}" name="Column1" headerRowDxfId="147" dataDxfId="146"/>
    <tableColumn id="2" xr3:uid="{3E2617E1-D7EB-4E70-B91F-AEE6B5010D8B}" name="Column2" headerRowDxfId="145" dataDxfId="144"/>
    <tableColumn id="3" xr3:uid="{297A833C-B424-4D8A-B1C0-A85659AB9FD9}" name="Column3" headerRowDxfId="143" dataDxfId="142"/>
    <tableColumn id="4" xr3:uid="{065DB790-9CE8-44E2-9DD3-9A7B47BE301C}" name="Column4" headerRowDxfId="141" dataDxfId="140"/>
    <tableColumn id="5" xr3:uid="{5351167E-0D90-4546-A37B-00857C6032FD}" name="Column5" headerRowDxfId="139" dataDxfId="138"/>
    <tableColumn id="6" xr3:uid="{18250230-5597-461E-9050-5C41AC61CC42}" name="Column6" headerRowDxfId="137" dataDxfId="136"/>
    <tableColumn id="7" xr3:uid="{8F2142D1-6FFB-4905-BE52-68D85DD4638A}" name="Column7" headerRowDxfId="135" dataDxfId="134"/>
    <tableColumn id="8" xr3:uid="{87D61F59-A676-426E-A400-AEAF2AFE4CBB}" name="Column8" headerRowDxfId="133" dataDxfId="132"/>
    <tableColumn id="9" xr3:uid="{3ED055B0-1923-49D3-9D40-57BEB302B811}" name="Column9" headerRowDxfId="131" dataDxfId="130"/>
    <tableColumn id="10" xr3:uid="{025703DA-705C-43ED-B827-4345DC00D55A}" name="Column10" headerRowDxfId="129" dataDxfId="128"/>
    <tableColumn id="11" xr3:uid="{6117C404-AC92-4266-A661-659574F0F708}" name="Column11" headerRowDxfId="127" dataDxfId="126"/>
    <tableColumn id="12" xr3:uid="{25742E88-25F5-480D-9C01-60932D35E392}" name="Column12" headerRowDxfId="125" dataDxfId="124"/>
    <tableColumn id="13" xr3:uid="{0EFE6C9D-718F-4063-965C-1F9C768C1EE2}" name="Column13" headerRowDxfId="123" dataDxfId="122"/>
    <tableColumn id="14" xr3:uid="{1A4C7DD3-A0BB-4070-89D0-E006EB858222}" name="Column14" headerRowDxfId="121" dataDxfId="120"/>
    <tableColumn id="15" xr3:uid="{9745E3A8-1C1A-46A6-8A00-7A888FDB89AD}" name="Column15" headerRowDxfId="119" dataDxfId="118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F19:U33" headerRowCount="0" totalsRowShown="0" headerRowDxfId="45" headerRowBorderDxfId="43" tableBorderDxfId="44" totalsRowBorderDxfId="42">
  <tableColumns count="16">
    <tableColumn id="1" xr3:uid="{00000000-0010-0000-0000-000001000000}" name="Column1" headerRowDxfId="41" dataDxfId="40"/>
    <tableColumn id="2" xr3:uid="{00000000-0010-0000-0000-000002000000}" name="Column2" headerRowDxfId="39" dataDxfId="38"/>
    <tableColumn id="3" xr3:uid="{00000000-0010-0000-0000-000003000000}" name="Column3" headerRowDxfId="37" dataDxfId="36"/>
    <tableColumn id="4" xr3:uid="{00000000-0010-0000-0000-000004000000}" name="Column4" headerRowDxfId="35" dataDxfId="34"/>
    <tableColumn id="5" xr3:uid="{00000000-0010-0000-0000-000005000000}" name="Column5" headerRowDxfId="33" dataDxfId="32"/>
    <tableColumn id="6" xr3:uid="{00000000-0010-0000-0000-000006000000}" name="Column6" headerRowDxfId="31" dataDxfId="30"/>
    <tableColumn id="7" xr3:uid="{00000000-0010-0000-0000-000007000000}" name="Column7" headerRowDxfId="29" dataDxfId="28"/>
    <tableColumn id="8" xr3:uid="{00000000-0010-0000-0000-000008000000}" name="Column8" headerRowDxfId="27" dataDxfId="26"/>
    <tableColumn id="9" xr3:uid="{00000000-0010-0000-0000-000009000000}" name="Column9" headerRowDxfId="25" dataDxfId="24"/>
    <tableColumn id="10" xr3:uid="{00000000-0010-0000-0000-00000A000000}" name="Column10" headerRowDxfId="23" dataDxfId="22"/>
    <tableColumn id="11" xr3:uid="{00000000-0010-0000-0000-00000B000000}" name="Column11" headerRowDxfId="21" dataDxfId="20"/>
    <tableColumn id="12" xr3:uid="{00000000-0010-0000-0000-00000C000000}" name="Column12" headerRowDxfId="19" dataDxfId="18"/>
    <tableColumn id="13" xr3:uid="{00000000-0010-0000-0000-00000D000000}" name="Column13" headerRowDxfId="17" dataDxfId="16"/>
    <tableColumn id="14" xr3:uid="{00000000-0010-0000-0000-00000E000000}" name="Column14" headerRowDxfId="15" dataDxfId="14"/>
    <tableColumn id="15" xr3:uid="{00000000-0010-0000-0000-00000F000000}" name="Column15" headerRowDxfId="13" dataDxfId="12"/>
    <tableColumn id="16" xr3:uid="{AB6DE869-51FE-4E21-9D66-9EF0FDDA916A}" name="Column16" headerRowDxfId="0" dataDxfId="1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4" displayName="Table14" ref="A3:P16" headerRowCount="0" totalsRowShown="0" headerRowDxfId="117" headerRowBorderDxfId="116" tableBorderDxfId="115" totalsRowBorderDxfId="114">
  <tableColumns count="16">
    <tableColumn id="1" xr3:uid="{00000000-0010-0000-0200-000001000000}" name="Column1" headerRowDxfId="113" dataDxfId="112"/>
    <tableColumn id="2" xr3:uid="{00000000-0010-0000-0200-000002000000}" name="Column2" headerRowDxfId="111" dataDxfId="110"/>
    <tableColumn id="3" xr3:uid="{00000000-0010-0000-0200-000003000000}" name="Column3" headerRowDxfId="109" dataDxfId="108"/>
    <tableColumn id="4" xr3:uid="{00000000-0010-0000-0200-000004000000}" name="Column4" headerRowDxfId="107" dataDxfId="106"/>
    <tableColumn id="5" xr3:uid="{00000000-0010-0000-0200-000005000000}" name="Column5" headerRowDxfId="105" dataDxfId="104"/>
    <tableColumn id="6" xr3:uid="{00000000-0010-0000-0200-000006000000}" name="Column6" headerRowDxfId="103" dataDxfId="102"/>
    <tableColumn id="7" xr3:uid="{00000000-0010-0000-0200-000007000000}" name="Column7" headerRowDxfId="101" dataDxfId="100"/>
    <tableColumn id="8" xr3:uid="{00000000-0010-0000-0200-000008000000}" name="Column8" headerRowDxfId="99" dataDxfId="98"/>
    <tableColumn id="9" xr3:uid="{00000000-0010-0000-0200-000009000000}" name="Column9" headerRowDxfId="97" dataDxfId="96"/>
    <tableColumn id="10" xr3:uid="{00000000-0010-0000-0200-00000A000000}" name="Column10" headerRowDxfId="95" dataDxfId="94"/>
    <tableColumn id="11" xr3:uid="{00000000-0010-0000-0200-00000B000000}" name="Column11" headerRowDxfId="93" dataDxfId="92"/>
    <tableColumn id="12" xr3:uid="{00000000-0010-0000-0200-00000C000000}" name="Column12" headerRowDxfId="91" dataDxfId="90"/>
    <tableColumn id="13" xr3:uid="{00000000-0010-0000-0200-00000D000000}" name="Column13" headerRowDxfId="89" dataDxfId="88"/>
    <tableColumn id="14" xr3:uid="{00000000-0010-0000-0200-00000E000000}" name="Column14" headerRowDxfId="87" dataDxfId="86"/>
    <tableColumn id="15" xr3:uid="{00000000-0010-0000-0200-00000F000000}" name="Column15" headerRowDxfId="85" dataDxfId="84"/>
    <tableColumn id="16" xr3:uid="{00000000-0010-0000-0200-000010000000}" name="Column16" headerRowDxfId="83" dataDxfId="82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EF77DB-7CD4-4BA1-BF54-61D349B064EA}" name="Table19" displayName="Table19" ref="A3:P16" headerRowCount="0" totalsRowShown="0" headerRowDxfId="81" headerRowBorderDxfId="80" tableBorderDxfId="79" totalsRowBorderDxfId="78">
  <tableColumns count="16">
    <tableColumn id="1" xr3:uid="{2B8EC321-66E1-4D71-BBC8-36428E41D6BD}" name="Column1" headerRowDxfId="77" dataDxfId="76"/>
    <tableColumn id="2" xr3:uid="{BDF38759-BB4F-49CE-A4EA-AEECCED0AD06}" name="Column2" headerRowDxfId="75" dataDxfId="74"/>
    <tableColumn id="3" xr3:uid="{C9D63255-D2FA-4FDA-A9B1-C0741F0C8382}" name="Column3" headerRowDxfId="73" dataDxfId="72"/>
    <tableColumn id="4" xr3:uid="{5EF61626-61E6-4797-98A5-C4363ABBC026}" name="Column4" headerRowDxfId="71" dataDxfId="70"/>
    <tableColumn id="5" xr3:uid="{00AF2DD1-BB79-43C4-BF21-17C8D0F43A63}" name="Column5" headerRowDxfId="69" dataDxfId="68"/>
    <tableColumn id="6" xr3:uid="{FFE95BD5-04C5-41D5-A410-563261C17B6E}" name="Column6" headerRowDxfId="67" dataDxfId="66"/>
    <tableColumn id="7" xr3:uid="{68B06A8F-98EA-4279-B535-A4B324F23BF3}" name="Column7" headerRowDxfId="65" dataDxfId="64"/>
    <tableColumn id="8" xr3:uid="{7923A509-EC0D-4CE6-8E63-5DDA457B933C}" name="Column8" headerRowDxfId="63" dataDxfId="62"/>
    <tableColumn id="9" xr3:uid="{65EB4A77-A7B1-42CC-9FDB-A7B89A590CAF}" name="Column9" headerRowDxfId="61" dataDxfId="60"/>
    <tableColumn id="10" xr3:uid="{3613105F-5CB7-4E2B-91B6-96B7C27255BF}" name="Column10" headerRowDxfId="59" dataDxfId="58"/>
    <tableColumn id="11" xr3:uid="{8652BE5F-B1E3-486B-8BAE-ADFE35C440E9}" name="Column11" headerRowDxfId="57" dataDxfId="56"/>
    <tableColumn id="12" xr3:uid="{E943B687-A3EB-4596-BD6E-A58EFFF403DE}" name="Column12" headerRowDxfId="55" dataDxfId="54"/>
    <tableColumn id="13" xr3:uid="{1DEBE638-40C4-464C-917C-1434B1DF88BA}" name="Column13" headerRowDxfId="53" dataDxfId="52"/>
    <tableColumn id="14" xr3:uid="{ABD1C8F1-A366-4AEA-BA0D-D94DC9194EE1}" name="Column14" headerRowDxfId="51" dataDxfId="50"/>
    <tableColumn id="15" xr3:uid="{23881D52-09B8-4FD6-81D8-C5B58E998EAA}" name="Column15" headerRowDxfId="49" dataDxfId="48"/>
    <tableColumn id="16" xr3:uid="{25FD14B5-3466-4703-9084-45F823315A08}" name="Column16" headerRowDxfId="47" dataDxfId="46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8"/>
  <sheetViews>
    <sheetView tabSelected="1" workbookViewId="0">
      <selection activeCell="A8" sqref="A8"/>
    </sheetView>
  </sheetViews>
  <sheetFormatPr defaultRowHeight="15" x14ac:dyDescent="0.25"/>
  <sheetData>
    <row r="1" spans="1:1" x14ac:dyDescent="0.25">
      <c r="A1" t="s">
        <v>67</v>
      </c>
    </row>
    <row r="2" spans="1:1" x14ac:dyDescent="0.25">
      <c r="A2" t="s">
        <v>68</v>
      </c>
    </row>
    <row r="3" spans="1:1" x14ac:dyDescent="0.25">
      <c r="A3" t="s">
        <v>69</v>
      </c>
    </row>
    <row r="4" spans="1:1" x14ac:dyDescent="0.25">
      <c r="A4" t="s">
        <v>70</v>
      </c>
    </row>
    <row r="5" spans="1:1" x14ac:dyDescent="0.25">
      <c r="A5" t="s">
        <v>92</v>
      </c>
    </row>
    <row r="6" spans="1:1" x14ac:dyDescent="0.25">
      <c r="A6" t="s">
        <v>111</v>
      </c>
    </row>
    <row r="7" spans="1:1" x14ac:dyDescent="0.25">
      <c r="A7" t="s">
        <v>112</v>
      </c>
    </row>
    <row r="8" spans="1:1" x14ac:dyDescent="0.25">
      <c r="A8" t="s">
        <v>133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5585-2AB4-4964-A8D1-65332DDEE40E}">
  <dimension ref="A1:B6"/>
  <sheetViews>
    <sheetView workbookViewId="0">
      <selection activeCell="L13" sqref="L13"/>
    </sheetView>
  </sheetViews>
  <sheetFormatPr defaultRowHeight="15" x14ac:dyDescent="0.25"/>
  <sheetData>
    <row r="1" spans="1:2" x14ac:dyDescent="0.25">
      <c r="A1" t="s">
        <v>113</v>
      </c>
    </row>
    <row r="2" spans="1:2" x14ac:dyDescent="0.25">
      <c r="A2">
        <v>1</v>
      </c>
      <c r="B2" t="s">
        <v>114</v>
      </c>
    </row>
    <row r="3" spans="1:2" x14ac:dyDescent="0.25">
      <c r="A3">
        <v>2</v>
      </c>
      <c r="B3" t="s">
        <v>115</v>
      </c>
    </row>
    <row r="4" spans="1:2" x14ac:dyDescent="0.25">
      <c r="A4">
        <v>3</v>
      </c>
      <c r="B4" t="s">
        <v>116</v>
      </c>
    </row>
    <row r="5" spans="1:2" x14ac:dyDescent="0.25">
      <c r="A5">
        <v>4</v>
      </c>
      <c r="B5" t="s">
        <v>117</v>
      </c>
    </row>
    <row r="6" spans="1:2" x14ac:dyDescent="0.25">
      <c r="A6">
        <v>5</v>
      </c>
      <c r="B6" t="s">
        <v>118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37A7-B98E-416C-844E-AD9BA428B38B}">
  <dimension ref="A1:O19"/>
  <sheetViews>
    <sheetView zoomScaleNormal="100" workbookViewId="0">
      <selection activeCell="A13" sqref="A13"/>
    </sheetView>
  </sheetViews>
  <sheetFormatPr defaultRowHeight="15" x14ac:dyDescent="0.25"/>
  <cols>
    <col min="1" max="1" width="12.85546875" bestFit="1" customWidth="1"/>
    <col min="5" max="5" width="9.85546875" bestFit="1" customWidth="1"/>
    <col min="14" max="14" width="11.42578125" bestFit="1" customWidth="1"/>
  </cols>
  <sheetData>
    <row r="1" spans="1:15" x14ac:dyDescent="0.25">
      <c r="A1" s="48" t="s">
        <v>109</v>
      </c>
      <c r="B1" s="48"/>
      <c r="C1" s="48"/>
      <c r="D1" s="48"/>
      <c r="E1" s="39">
        <v>43293</v>
      </c>
    </row>
    <row r="2" spans="1:15" x14ac:dyDescent="0.25">
      <c r="A2" s="48"/>
      <c r="B2" s="48"/>
      <c r="C2" s="48"/>
      <c r="D2" s="48"/>
      <c r="G2" s="4"/>
      <c r="H2" s="4">
        <v>19</v>
      </c>
      <c r="I2" s="4">
        <v>18</v>
      </c>
      <c r="J2" s="4">
        <v>17</v>
      </c>
      <c r="K2" s="4">
        <v>16</v>
      </c>
      <c r="L2" s="4">
        <v>15</v>
      </c>
      <c r="M2" s="4">
        <v>13</v>
      </c>
      <c r="N2" s="4">
        <v>12</v>
      </c>
      <c r="O2" s="4">
        <v>10</v>
      </c>
    </row>
    <row r="3" spans="1:15" x14ac:dyDescent="0.25">
      <c r="A3" s="28"/>
      <c r="B3" s="19">
        <v>7</v>
      </c>
      <c r="C3" s="19">
        <v>6</v>
      </c>
      <c r="D3" s="19">
        <v>5</v>
      </c>
      <c r="E3" s="19">
        <v>4</v>
      </c>
      <c r="F3" s="18" t="s">
        <v>74</v>
      </c>
      <c r="G3" s="26"/>
      <c r="H3" s="26"/>
      <c r="I3" s="26"/>
      <c r="J3" s="26"/>
      <c r="K3" s="26"/>
      <c r="L3" s="26"/>
      <c r="M3" s="26"/>
      <c r="N3" s="27" t="s">
        <v>65</v>
      </c>
      <c r="O3" s="30"/>
    </row>
    <row r="4" spans="1:15" x14ac:dyDescent="0.25">
      <c r="A4" s="28"/>
      <c r="B4" s="19" t="s">
        <v>14</v>
      </c>
      <c r="C4" s="19" t="s">
        <v>14</v>
      </c>
      <c r="D4" s="19" t="s">
        <v>14</v>
      </c>
      <c r="E4" s="19" t="s">
        <v>14</v>
      </c>
      <c r="F4" s="18"/>
      <c r="G4" s="20" t="s">
        <v>96</v>
      </c>
      <c r="H4" s="21" t="s">
        <v>16</v>
      </c>
      <c r="I4" s="21" t="s">
        <v>21</v>
      </c>
      <c r="J4" s="21" t="s">
        <v>15</v>
      </c>
      <c r="K4" s="21" t="s">
        <v>104</v>
      </c>
      <c r="L4" s="21" t="s">
        <v>39</v>
      </c>
      <c r="M4" s="21" t="s">
        <v>66</v>
      </c>
      <c r="N4" s="21" t="s">
        <v>103</v>
      </c>
      <c r="O4" s="31" t="s">
        <v>95</v>
      </c>
    </row>
    <row r="5" spans="1:15" x14ac:dyDescent="0.25">
      <c r="A5" s="29" t="s">
        <v>1</v>
      </c>
      <c r="B5" s="22">
        <v>0</v>
      </c>
      <c r="C5" s="23">
        <v>0</v>
      </c>
      <c r="D5" s="23">
        <v>1</v>
      </c>
      <c r="E5" s="24">
        <v>1</v>
      </c>
      <c r="F5" s="18">
        <v>0</v>
      </c>
      <c r="G5" s="18">
        <v>0</v>
      </c>
      <c r="H5" s="18">
        <v>1</v>
      </c>
      <c r="I5" s="18">
        <v>0</v>
      </c>
      <c r="J5" s="18">
        <v>0</v>
      </c>
      <c r="K5" s="18">
        <v>1</v>
      </c>
      <c r="L5" s="18">
        <v>0</v>
      </c>
      <c r="M5" s="18">
        <v>0</v>
      </c>
      <c r="N5" s="18">
        <v>0</v>
      </c>
      <c r="O5" s="32">
        <v>1</v>
      </c>
    </row>
    <row r="6" spans="1:15" x14ac:dyDescent="0.25">
      <c r="A6" s="29" t="s">
        <v>2</v>
      </c>
      <c r="B6" s="22">
        <v>1</v>
      </c>
      <c r="C6" s="23">
        <v>0</v>
      </c>
      <c r="D6" s="23">
        <v>1</v>
      </c>
      <c r="E6" s="24">
        <v>0</v>
      </c>
      <c r="F6" s="18">
        <v>0</v>
      </c>
      <c r="G6" s="25">
        <v>0</v>
      </c>
      <c r="H6" s="18">
        <v>1</v>
      </c>
      <c r="I6" s="18">
        <v>0</v>
      </c>
      <c r="J6" s="18">
        <v>1</v>
      </c>
      <c r="K6" s="18">
        <v>1</v>
      </c>
      <c r="L6" s="18">
        <v>0</v>
      </c>
      <c r="M6" s="18">
        <v>0</v>
      </c>
      <c r="N6" s="18">
        <v>0</v>
      </c>
      <c r="O6" s="32">
        <v>1</v>
      </c>
    </row>
    <row r="7" spans="1:15" x14ac:dyDescent="0.25">
      <c r="A7" s="29" t="s">
        <v>75</v>
      </c>
      <c r="B7" s="22">
        <v>1</v>
      </c>
      <c r="C7" s="23">
        <v>0</v>
      </c>
      <c r="D7" s="23">
        <v>1</v>
      </c>
      <c r="E7" s="24">
        <v>0</v>
      </c>
      <c r="F7" s="18">
        <v>1</v>
      </c>
      <c r="G7" s="21">
        <v>1</v>
      </c>
      <c r="H7" s="18">
        <v>1</v>
      </c>
      <c r="I7" s="18">
        <v>0</v>
      </c>
      <c r="J7" s="18">
        <v>0</v>
      </c>
      <c r="K7" s="18">
        <v>1</v>
      </c>
      <c r="L7" s="18">
        <v>0</v>
      </c>
      <c r="M7" s="18">
        <v>0</v>
      </c>
      <c r="N7" s="18">
        <v>0</v>
      </c>
      <c r="O7" s="32">
        <v>0</v>
      </c>
    </row>
    <row r="8" spans="1:15" x14ac:dyDescent="0.25">
      <c r="A8" s="29" t="s">
        <v>3</v>
      </c>
      <c r="B8" s="22">
        <v>0</v>
      </c>
      <c r="C8" s="23">
        <v>1</v>
      </c>
      <c r="D8" s="23">
        <v>1</v>
      </c>
      <c r="E8" s="24">
        <v>1</v>
      </c>
      <c r="F8" s="18">
        <v>0</v>
      </c>
      <c r="G8" s="18">
        <v>0</v>
      </c>
      <c r="H8" s="18">
        <v>0</v>
      </c>
      <c r="I8" s="18">
        <v>1</v>
      </c>
      <c r="J8" s="18">
        <v>0</v>
      </c>
      <c r="K8" s="18">
        <v>1</v>
      </c>
      <c r="L8" s="18">
        <v>0</v>
      </c>
      <c r="M8" s="18">
        <v>0</v>
      </c>
      <c r="N8" s="18">
        <v>0</v>
      </c>
      <c r="O8" s="32">
        <v>1</v>
      </c>
    </row>
    <row r="9" spans="1:15" x14ac:dyDescent="0.25">
      <c r="A9" s="29" t="s">
        <v>4</v>
      </c>
      <c r="B9" s="22">
        <v>1</v>
      </c>
      <c r="C9" s="23">
        <v>1</v>
      </c>
      <c r="D9" s="23">
        <v>0</v>
      </c>
      <c r="E9" s="24">
        <v>0</v>
      </c>
      <c r="F9" s="18">
        <v>0</v>
      </c>
      <c r="G9" s="25">
        <v>0</v>
      </c>
      <c r="H9" s="18">
        <v>0</v>
      </c>
      <c r="I9" s="18">
        <v>1</v>
      </c>
      <c r="J9" s="18">
        <v>1</v>
      </c>
      <c r="K9" s="18">
        <v>1</v>
      </c>
      <c r="L9" s="18">
        <v>0</v>
      </c>
      <c r="M9" s="18">
        <v>0</v>
      </c>
      <c r="N9" s="18">
        <v>0</v>
      </c>
      <c r="O9" s="32">
        <v>1</v>
      </c>
    </row>
    <row r="10" spans="1:15" x14ac:dyDescent="0.25">
      <c r="A10" s="29" t="s">
        <v>76</v>
      </c>
      <c r="B10" s="22">
        <v>1</v>
      </c>
      <c r="C10" s="23">
        <v>1</v>
      </c>
      <c r="D10" s="23">
        <v>0</v>
      </c>
      <c r="E10" s="24">
        <v>0</v>
      </c>
      <c r="F10" s="18">
        <v>1</v>
      </c>
      <c r="G10" s="18">
        <v>1</v>
      </c>
      <c r="H10" s="18">
        <v>0</v>
      </c>
      <c r="I10" s="18">
        <v>1</v>
      </c>
      <c r="J10" s="18">
        <v>0</v>
      </c>
      <c r="K10" s="18">
        <v>1</v>
      </c>
      <c r="L10" s="18">
        <v>0</v>
      </c>
      <c r="M10" s="18">
        <v>0</v>
      </c>
      <c r="N10" s="18">
        <v>0</v>
      </c>
      <c r="O10" s="32">
        <v>0</v>
      </c>
    </row>
    <row r="11" spans="1:15" x14ac:dyDescent="0.25">
      <c r="A11" s="44" t="s">
        <v>5</v>
      </c>
      <c r="B11" s="45">
        <v>1</v>
      </c>
      <c r="C11" s="45">
        <v>0</v>
      </c>
      <c r="D11" s="45">
        <v>0</v>
      </c>
      <c r="E11" s="45">
        <v>0</v>
      </c>
      <c r="F11" s="46">
        <v>0</v>
      </c>
      <c r="G11" s="46">
        <v>0</v>
      </c>
      <c r="H11" s="46">
        <v>0</v>
      </c>
      <c r="I11" s="46">
        <v>0</v>
      </c>
      <c r="J11" s="46">
        <v>1</v>
      </c>
      <c r="K11" s="46">
        <v>1</v>
      </c>
      <c r="L11" s="46">
        <v>0</v>
      </c>
      <c r="M11" s="46">
        <v>0</v>
      </c>
      <c r="N11" s="46">
        <v>0</v>
      </c>
      <c r="O11" s="47">
        <v>1</v>
      </c>
    </row>
    <row r="12" spans="1:15" x14ac:dyDescent="0.25">
      <c r="A12" s="29" t="s">
        <v>77</v>
      </c>
      <c r="B12" s="22">
        <v>1</v>
      </c>
      <c r="C12" s="23">
        <v>0</v>
      </c>
      <c r="D12" s="23">
        <v>0</v>
      </c>
      <c r="E12" s="24">
        <v>0</v>
      </c>
      <c r="F12" s="18">
        <v>1</v>
      </c>
      <c r="G12" s="18">
        <v>0</v>
      </c>
      <c r="H12" s="18">
        <v>0</v>
      </c>
      <c r="I12" s="18">
        <v>0</v>
      </c>
      <c r="J12" s="21">
        <v>0</v>
      </c>
      <c r="K12" s="18">
        <v>0</v>
      </c>
      <c r="L12" s="18">
        <v>0</v>
      </c>
      <c r="M12" s="18">
        <v>0</v>
      </c>
      <c r="N12" s="18">
        <v>1</v>
      </c>
      <c r="O12" s="32">
        <v>0</v>
      </c>
    </row>
    <row r="13" spans="1:15" x14ac:dyDescent="0.25">
      <c r="A13" s="29" t="s">
        <v>31</v>
      </c>
      <c r="B13" s="22">
        <v>1</v>
      </c>
      <c r="C13" s="23">
        <v>1</v>
      </c>
      <c r="D13" s="23">
        <v>1</v>
      </c>
      <c r="E13" s="24">
        <v>0</v>
      </c>
      <c r="F13" s="18">
        <v>0</v>
      </c>
      <c r="G13" s="25">
        <v>0</v>
      </c>
      <c r="H13" s="18">
        <v>0</v>
      </c>
      <c r="I13" s="18">
        <v>0</v>
      </c>
      <c r="J13" s="18">
        <v>1</v>
      </c>
      <c r="K13" s="18">
        <v>1</v>
      </c>
      <c r="L13" s="18">
        <v>0</v>
      </c>
      <c r="M13" s="18">
        <v>1</v>
      </c>
      <c r="N13" s="18">
        <v>0</v>
      </c>
      <c r="O13" s="32">
        <v>1</v>
      </c>
    </row>
    <row r="14" spans="1:15" x14ac:dyDescent="0.25">
      <c r="A14" s="29" t="s">
        <v>78</v>
      </c>
      <c r="B14" s="22">
        <v>1</v>
      </c>
      <c r="C14" s="23">
        <v>1</v>
      </c>
      <c r="D14" s="23">
        <v>1</v>
      </c>
      <c r="E14" s="24">
        <v>0</v>
      </c>
      <c r="F14" s="18">
        <v>1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18">
        <v>1</v>
      </c>
      <c r="N14" s="18">
        <v>1</v>
      </c>
      <c r="O14" s="32">
        <v>0</v>
      </c>
    </row>
    <row r="15" spans="1:15" x14ac:dyDescent="0.25">
      <c r="A15" s="29" t="s">
        <v>6</v>
      </c>
      <c r="B15" s="22">
        <v>0</v>
      </c>
      <c r="C15" s="23">
        <v>1</v>
      </c>
      <c r="D15" s="23">
        <v>1</v>
      </c>
      <c r="E15" s="24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1</v>
      </c>
      <c r="L15" s="18">
        <v>1</v>
      </c>
      <c r="M15" s="18">
        <v>0</v>
      </c>
      <c r="N15" s="18">
        <v>1</v>
      </c>
      <c r="O15" s="32">
        <v>1</v>
      </c>
    </row>
    <row r="16" spans="1:15" x14ac:dyDescent="0.25">
      <c r="A16" s="33" t="s">
        <v>11</v>
      </c>
      <c r="B16" s="34">
        <v>0</v>
      </c>
      <c r="C16" s="35">
        <v>0</v>
      </c>
      <c r="D16" s="35">
        <v>0</v>
      </c>
      <c r="E16" s="36">
        <v>1</v>
      </c>
      <c r="F16" s="37">
        <v>0</v>
      </c>
      <c r="G16" s="37">
        <v>0</v>
      </c>
      <c r="H16" s="37">
        <v>0</v>
      </c>
      <c r="I16" s="37">
        <v>0</v>
      </c>
      <c r="J16" s="37">
        <v>0</v>
      </c>
      <c r="K16" s="37">
        <v>1</v>
      </c>
      <c r="L16" s="37">
        <v>0</v>
      </c>
      <c r="M16" s="37">
        <v>0</v>
      </c>
      <c r="N16" s="37">
        <v>0</v>
      </c>
      <c r="O16" s="38">
        <v>1</v>
      </c>
    </row>
    <row r="18" spans="1:15" x14ac:dyDescent="0.25">
      <c r="G18">
        <v>1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</row>
    <row r="19" spans="1:15" x14ac:dyDescent="0.25">
      <c r="A19" t="s">
        <v>110</v>
      </c>
    </row>
  </sheetData>
  <mergeCells count="1">
    <mergeCell ref="A1:D2"/>
  </mergeCells>
  <conditionalFormatting sqref="G5:N16 O14">
    <cfRule type="cellIs" dxfId="11" priority="2" operator="greaterThan">
      <formula>0.5</formula>
    </cfRule>
  </conditionalFormatting>
  <conditionalFormatting sqref="N5:O16">
    <cfRule type="cellIs" dxfId="10" priority="1" operator="greaterThan">
      <formula>0.5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B47"/>
  <sheetViews>
    <sheetView topLeftCell="E1" zoomScale="145" zoomScaleNormal="145" workbookViewId="0">
      <selection activeCell="J18" sqref="J18"/>
    </sheetView>
  </sheetViews>
  <sheetFormatPr defaultRowHeight="15" x14ac:dyDescent="0.25"/>
  <cols>
    <col min="1" max="1" width="16.5703125" bestFit="1" customWidth="1"/>
    <col min="6" max="14" width="9.7109375" customWidth="1"/>
    <col min="15" max="15" width="10.85546875" style="12" customWidth="1"/>
    <col min="16" max="21" width="10.85546875" customWidth="1"/>
  </cols>
  <sheetData>
    <row r="1" spans="1:28" x14ac:dyDescent="0.25">
      <c r="A1" s="49" t="s">
        <v>40</v>
      </c>
      <c r="B1" s="49"/>
      <c r="C1" s="49"/>
      <c r="D1" s="49"/>
      <c r="O1"/>
    </row>
    <row r="2" spans="1:28" x14ac:dyDescent="0.25">
      <c r="A2" t="s">
        <v>7</v>
      </c>
      <c r="B2" t="s">
        <v>12</v>
      </c>
      <c r="C2" t="s">
        <v>13</v>
      </c>
      <c r="D2" t="s">
        <v>17</v>
      </c>
      <c r="G2" t="s">
        <v>62</v>
      </c>
      <c r="O2"/>
    </row>
    <row r="3" spans="1:28" x14ac:dyDescent="0.25">
      <c r="A3" s="1" t="s">
        <v>1</v>
      </c>
      <c r="F3" t="s">
        <v>94</v>
      </c>
      <c r="G3" s="4">
        <v>8</v>
      </c>
      <c r="H3" s="4">
        <v>7</v>
      </c>
      <c r="I3" s="4">
        <v>6</v>
      </c>
      <c r="J3" s="4">
        <v>5</v>
      </c>
      <c r="K3" s="4">
        <v>4</v>
      </c>
      <c r="L3" s="4">
        <v>3</v>
      </c>
      <c r="M3" s="4">
        <v>2</v>
      </c>
      <c r="N3" s="4">
        <v>1</v>
      </c>
      <c r="O3"/>
      <c r="Q3" s="11"/>
    </row>
    <row r="4" spans="1:28" x14ac:dyDescent="0.25">
      <c r="A4" t="s">
        <v>8</v>
      </c>
      <c r="B4" t="s">
        <v>9</v>
      </c>
      <c r="C4" t="s">
        <v>16</v>
      </c>
      <c r="D4" t="s">
        <v>18</v>
      </c>
      <c r="G4" s="4" t="s">
        <v>14</v>
      </c>
      <c r="H4" s="4" t="s">
        <v>14</v>
      </c>
      <c r="I4" s="4" t="s">
        <v>14</v>
      </c>
      <c r="J4" s="4" t="s">
        <v>14</v>
      </c>
      <c r="K4" s="4" t="s">
        <v>55</v>
      </c>
      <c r="L4" s="4" t="s">
        <v>55</v>
      </c>
      <c r="M4" s="4" t="s">
        <v>55</v>
      </c>
      <c r="N4" s="4" t="s">
        <v>55</v>
      </c>
      <c r="O4"/>
      <c r="P4" t="s">
        <v>59</v>
      </c>
      <c r="Q4" s="15"/>
    </row>
    <row r="5" spans="1:28" x14ac:dyDescent="0.25">
      <c r="F5" s="1" t="s">
        <v>1</v>
      </c>
      <c r="G5" s="7">
        <v>0</v>
      </c>
      <c r="H5" s="5">
        <v>0</v>
      </c>
      <c r="I5" s="5">
        <v>1</v>
      </c>
      <c r="J5" s="9">
        <v>1</v>
      </c>
      <c r="K5" s="9" t="s">
        <v>56</v>
      </c>
      <c r="L5" s="9" t="s">
        <v>56</v>
      </c>
      <c r="M5" s="9" t="s">
        <v>56</v>
      </c>
      <c r="N5" s="9" t="s">
        <v>56</v>
      </c>
      <c r="O5"/>
      <c r="P5" s="11">
        <f t="shared" ref="P5:P12" si="0">BIN2DEC(G5&amp;H5&amp;I5&amp;J5)</f>
        <v>3</v>
      </c>
      <c r="Q5" s="11"/>
    </row>
    <row r="6" spans="1:28" x14ac:dyDescent="0.25">
      <c r="A6" s="1" t="s">
        <v>2</v>
      </c>
      <c r="F6" s="1" t="s">
        <v>2</v>
      </c>
      <c r="G6" s="7">
        <v>1</v>
      </c>
      <c r="H6" s="5">
        <v>0</v>
      </c>
      <c r="I6" s="5">
        <v>1</v>
      </c>
      <c r="J6" s="9">
        <v>0</v>
      </c>
      <c r="K6" s="5" t="s">
        <v>58</v>
      </c>
      <c r="L6" s="14" t="s">
        <v>57</v>
      </c>
      <c r="M6" s="14" t="s">
        <v>57</v>
      </c>
      <c r="N6" s="14" t="s">
        <v>57</v>
      </c>
      <c r="O6"/>
      <c r="P6">
        <f t="shared" si="0"/>
        <v>10</v>
      </c>
      <c r="Q6" s="11"/>
    </row>
    <row r="7" spans="1:28" x14ac:dyDescent="0.25">
      <c r="A7" t="s">
        <v>8</v>
      </c>
      <c r="B7" t="s">
        <v>71</v>
      </c>
      <c r="C7" t="s">
        <v>15</v>
      </c>
      <c r="D7" t="s">
        <v>18</v>
      </c>
      <c r="F7" s="1" t="s">
        <v>3</v>
      </c>
      <c r="G7" s="7">
        <v>0</v>
      </c>
      <c r="H7" s="5">
        <v>1</v>
      </c>
      <c r="I7" s="5">
        <v>1</v>
      </c>
      <c r="J7" s="9">
        <v>1</v>
      </c>
      <c r="K7" s="9" t="s">
        <v>56</v>
      </c>
      <c r="L7" s="9" t="s">
        <v>56</v>
      </c>
      <c r="M7" s="9" t="s">
        <v>56</v>
      </c>
      <c r="N7" s="9" t="s">
        <v>56</v>
      </c>
      <c r="O7"/>
      <c r="P7">
        <f t="shared" si="0"/>
        <v>7</v>
      </c>
      <c r="Q7" s="11"/>
    </row>
    <row r="8" spans="1:28" x14ac:dyDescent="0.25">
      <c r="A8" t="s">
        <v>10</v>
      </c>
      <c r="B8" t="s">
        <v>9</v>
      </c>
      <c r="C8" t="s">
        <v>16</v>
      </c>
      <c r="D8" t="s">
        <v>19</v>
      </c>
      <c r="F8" s="1" t="s">
        <v>4</v>
      </c>
      <c r="G8" s="7">
        <v>1</v>
      </c>
      <c r="H8" s="5">
        <v>1</v>
      </c>
      <c r="I8" s="5">
        <v>0</v>
      </c>
      <c r="J8" s="9">
        <v>0</v>
      </c>
      <c r="K8" s="5" t="s">
        <v>58</v>
      </c>
      <c r="L8" s="14" t="s">
        <v>57</v>
      </c>
      <c r="M8" s="14" t="s">
        <v>57</v>
      </c>
      <c r="N8" s="14" t="s">
        <v>57</v>
      </c>
      <c r="O8"/>
      <c r="P8">
        <f t="shared" si="0"/>
        <v>12</v>
      </c>
      <c r="Q8" s="11"/>
    </row>
    <row r="9" spans="1:28" x14ac:dyDescent="0.25">
      <c r="F9" s="1" t="s">
        <v>5</v>
      </c>
      <c r="G9" s="7">
        <v>1</v>
      </c>
      <c r="H9" s="5">
        <v>0</v>
      </c>
      <c r="I9" s="5">
        <v>0</v>
      </c>
      <c r="J9" s="9">
        <v>0</v>
      </c>
      <c r="K9" s="5" t="s">
        <v>58</v>
      </c>
      <c r="L9" s="14" t="s">
        <v>57</v>
      </c>
      <c r="M9" s="14" t="s">
        <v>57</v>
      </c>
      <c r="N9" s="14" t="s">
        <v>57</v>
      </c>
      <c r="O9"/>
      <c r="P9">
        <f t="shared" si="0"/>
        <v>8</v>
      </c>
      <c r="Q9" s="11"/>
    </row>
    <row r="10" spans="1:28" x14ac:dyDescent="0.25">
      <c r="A10" s="1" t="s">
        <v>3</v>
      </c>
      <c r="F10" s="1" t="s">
        <v>31</v>
      </c>
      <c r="G10" s="7">
        <v>1</v>
      </c>
      <c r="H10" s="5">
        <v>1</v>
      </c>
      <c r="I10" s="5">
        <v>1</v>
      </c>
      <c r="J10" s="9">
        <v>0</v>
      </c>
      <c r="K10" s="5" t="s">
        <v>58</v>
      </c>
      <c r="L10" s="14" t="s">
        <v>57</v>
      </c>
      <c r="M10" s="14" t="s">
        <v>57</v>
      </c>
      <c r="N10" s="14" t="s">
        <v>57</v>
      </c>
      <c r="O10"/>
      <c r="P10">
        <f t="shared" si="0"/>
        <v>14</v>
      </c>
      <c r="Q10" s="11"/>
    </row>
    <row r="11" spans="1:28" x14ac:dyDescent="0.25">
      <c r="A11" t="s">
        <v>8</v>
      </c>
      <c r="B11" t="s">
        <v>9</v>
      </c>
      <c r="C11" t="s">
        <v>21</v>
      </c>
      <c r="D11" t="s">
        <v>18</v>
      </c>
      <c r="F11" s="1" t="s">
        <v>6</v>
      </c>
      <c r="G11" s="7">
        <v>0</v>
      </c>
      <c r="H11" s="5">
        <v>1</v>
      </c>
      <c r="I11" s="5">
        <v>1</v>
      </c>
      <c r="J11" s="9">
        <v>0</v>
      </c>
      <c r="K11" s="5" t="s">
        <v>58</v>
      </c>
      <c r="L11" s="5" t="s">
        <v>58</v>
      </c>
      <c r="M11" s="5" t="s">
        <v>58</v>
      </c>
      <c r="N11" s="5" t="s">
        <v>58</v>
      </c>
      <c r="O11"/>
      <c r="P11">
        <f t="shared" si="0"/>
        <v>6</v>
      </c>
      <c r="Q11" s="11"/>
    </row>
    <row r="12" spans="1:28" x14ac:dyDescent="0.25">
      <c r="F12" s="1" t="s">
        <v>11</v>
      </c>
      <c r="G12" s="7">
        <v>0</v>
      </c>
      <c r="H12" s="5">
        <v>0</v>
      </c>
      <c r="I12" s="5">
        <v>0</v>
      </c>
      <c r="J12" s="9">
        <v>1</v>
      </c>
      <c r="K12" s="5">
        <v>0</v>
      </c>
      <c r="L12" s="5">
        <v>0</v>
      </c>
      <c r="M12" s="5">
        <v>0</v>
      </c>
      <c r="N12" s="5">
        <v>0</v>
      </c>
      <c r="O12"/>
      <c r="P12">
        <f t="shared" si="0"/>
        <v>1</v>
      </c>
      <c r="Q12" s="11"/>
    </row>
    <row r="13" spans="1:28" x14ac:dyDescent="0.25">
      <c r="A13" s="1" t="s">
        <v>4</v>
      </c>
      <c r="F13" s="1"/>
      <c r="G13" s="7"/>
      <c r="H13" s="13"/>
      <c r="I13" s="13"/>
      <c r="J13" s="10"/>
      <c r="K13" s="13"/>
      <c r="L13" s="13"/>
      <c r="M13" s="13"/>
      <c r="N13" s="13"/>
      <c r="O13"/>
      <c r="P13" s="6"/>
    </row>
    <row r="14" spans="1:28" ht="23.25" customHeight="1" x14ac:dyDescent="0.9">
      <c r="A14" t="s">
        <v>8</v>
      </c>
      <c r="B14" t="s">
        <v>71</v>
      </c>
      <c r="C14" t="s">
        <v>15</v>
      </c>
      <c r="D14" t="s">
        <v>18</v>
      </c>
      <c r="G14" s="8"/>
      <c r="J14" s="10"/>
      <c r="O14"/>
      <c r="V14" s="17"/>
      <c r="W14" s="16"/>
      <c r="X14" s="16"/>
      <c r="Y14" s="16"/>
      <c r="Z14" s="16"/>
      <c r="AA14" s="16"/>
      <c r="AB14" s="16"/>
    </row>
    <row r="15" spans="1:28" x14ac:dyDescent="0.25">
      <c r="A15" t="s">
        <v>20</v>
      </c>
      <c r="B15" t="s">
        <v>9</v>
      </c>
      <c r="C15" s="2" t="s">
        <v>21</v>
      </c>
      <c r="D15" t="s">
        <v>19</v>
      </c>
      <c r="G15" s="8" t="s">
        <v>60</v>
      </c>
      <c r="J15" s="10" t="s">
        <v>61</v>
      </c>
      <c r="O15"/>
      <c r="U15" s="41"/>
      <c r="V15" s="16"/>
      <c r="W15" s="16"/>
      <c r="X15" s="16"/>
      <c r="Y15" s="16"/>
      <c r="Z15" s="16"/>
      <c r="AA15" s="16"/>
      <c r="AB15" s="16"/>
    </row>
    <row r="16" spans="1:28" x14ac:dyDescent="0.25">
      <c r="O16"/>
      <c r="U16" s="41"/>
      <c r="V16" s="16"/>
      <c r="W16" s="16"/>
      <c r="X16" s="16"/>
      <c r="Y16" s="16"/>
      <c r="Z16" s="16"/>
      <c r="AA16" s="16"/>
      <c r="AB16" s="16"/>
    </row>
    <row r="17" spans="1:27" x14ac:dyDescent="0.25">
      <c r="A17" s="1" t="s">
        <v>5</v>
      </c>
      <c r="F17" s="48" t="s">
        <v>132</v>
      </c>
      <c r="G17" s="48"/>
      <c r="H17" s="48"/>
      <c r="I17" s="48"/>
      <c r="J17" s="39">
        <v>43748</v>
      </c>
      <c r="O17"/>
      <c r="U17" s="41"/>
    </row>
    <row r="18" spans="1:27" x14ac:dyDescent="0.25">
      <c r="A18" t="s">
        <v>8</v>
      </c>
      <c r="B18" t="s">
        <v>71</v>
      </c>
      <c r="C18" t="s">
        <v>15</v>
      </c>
      <c r="D18" t="s">
        <v>18</v>
      </c>
      <c r="F18" s="48"/>
      <c r="G18" s="48"/>
      <c r="H18" s="48"/>
      <c r="I18" s="48"/>
      <c r="L18" s="4"/>
      <c r="M18" s="4">
        <v>19</v>
      </c>
      <c r="N18" s="4">
        <v>18</v>
      </c>
      <c r="O18" s="4">
        <v>17</v>
      </c>
      <c r="P18" s="4">
        <v>16</v>
      </c>
      <c r="Q18" s="4">
        <v>15</v>
      </c>
      <c r="R18" s="4">
        <v>13</v>
      </c>
      <c r="S18" s="4">
        <v>12</v>
      </c>
      <c r="T18" s="4">
        <v>10</v>
      </c>
      <c r="U18" s="42">
        <v>7</v>
      </c>
    </row>
    <row r="19" spans="1:27" x14ac:dyDescent="0.25">
      <c r="A19" t="s">
        <v>34</v>
      </c>
      <c r="B19" t="s">
        <v>9</v>
      </c>
      <c r="C19" s="2" t="s">
        <v>35</v>
      </c>
      <c r="D19" t="s">
        <v>36</v>
      </c>
      <c r="F19" s="28"/>
      <c r="G19" s="19">
        <v>7</v>
      </c>
      <c r="H19" s="19">
        <v>6</v>
      </c>
      <c r="I19" s="19">
        <v>5</v>
      </c>
      <c r="J19" s="19">
        <v>4</v>
      </c>
      <c r="K19" s="18" t="s">
        <v>74</v>
      </c>
      <c r="L19" s="26" t="s">
        <v>63</v>
      </c>
      <c r="M19" s="26"/>
      <c r="N19" s="26"/>
      <c r="O19" s="26"/>
      <c r="P19" s="26"/>
      <c r="Q19" s="26"/>
      <c r="R19" s="26"/>
      <c r="S19" s="27" t="s">
        <v>65</v>
      </c>
      <c r="T19" s="30"/>
      <c r="U19" s="51" t="s">
        <v>123</v>
      </c>
    </row>
    <row r="20" spans="1:27" x14ac:dyDescent="0.25">
      <c r="F20" s="28"/>
      <c r="G20" s="19" t="s">
        <v>14</v>
      </c>
      <c r="H20" s="19" t="s">
        <v>14</v>
      </c>
      <c r="I20" s="19" t="s">
        <v>14</v>
      </c>
      <c r="J20" s="19" t="s">
        <v>14</v>
      </c>
      <c r="K20" s="18"/>
      <c r="L20" s="20" t="s">
        <v>96</v>
      </c>
      <c r="M20" s="21" t="s">
        <v>16</v>
      </c>
      <c r="N20" s="21" t="s">
        <v>21</v>
      </c>
      <c r="O20" s="21" t="s">
        <v>15</v>
      </c>
      <c r="P20" s="21" t="s">
        <v>104</v>
      </c>
      <c r="Q20" s="21" t="s">
        <v>39</v>
      </c>
      <c r="R20" s="21" t="s">
        <v>66</v>
      </c>
      <c r="S20" s="21" t="s">
        <v>103</v>
      </c>
      <c r="T20" s="31" t="s">
        <v>95</v>
      </c>
      <c r="U20" s="20" t="s">
        <v>124</v>
      </c>
    </row>
    <row r="21" spans="1:27" x14ac:dyDescent="0.25">
      <c r="A21" s="1" t="s">
        <v>37</v>
      </c>
      <c r="F21" s="29" t="s">
        <v>1</v>
      </c>
      <c r="G21" s="22">
        <v>0</v>
      </c>
      <c r="H21" s="23">
        <v>0</v>
      </c>
      <c r="I21" s="23">
        <v>1</v>
      </c>
      <c r="J21" s="24">
        <v>1</v>
      </c>
      <c r="K21" s="18">
        <v>0</v>
      </c>
      <c r="L21" s="18">
        <v>0</v>
      </c>
      <c r="M21" s="18">
        <v>1</v>
      </c>
      <c r="N21" s="18">
        <v>0</v>
      </c>
      <c r="O21" s="18">
        <v>0</v>
      </c>
      <c r="P21" s="18">
        <v>1</v>
      </c>
      <c r="Q21" s="18">
        <v>0</v>
      </c>
      <c r="R21" s="18">
        <v>0</v>
      </c>
      <c r="S21" s="18">
        <v>0</v>
      </c>
      <c r="T21" s="32">
        <v>1</v>
      </c>
      <c r="U21" s="46">
        <v>0</v>
      </c>
    </row>
    <row r="22" spans="1:27" x14ac:dyDescent="0.25">
      <c r="A22" t="s">
        <v>8</v>
      </c>
      <c r="B22" t="s">
        <v>71</v>
      </c>
      <c r="C22" t="s">
        <v>15</v>
      </c>
      <c r="D22" t="s">
        <v>18</v>
      </c>
      <c r="F22" s="29" t="s">
        <v>2</v>
      </c>
      <c r="G22" s="22">
        <v>1</v>
      </c>
      <c r="H22" s="23">
        <v>0</v>
      </c>
      <c r="I22" s="23">
        <v>1</v>
      </c>
      <c r="J22" s="24">
        <v>0</v>
      </c>
      <c r="K22" s="18">
        <v>0</v>
      </c>
      <c r="L22" s="25">
        <v>0</v>
      </c>
      <c r="M22" s="18">
        <v>1</v>
      </c>
      <c r="N22" s="18">
        <v>0</v>
      </c>
      <c r="O22" s="18">
        <v>1</v>
      </c>
      <c r="P22" s="18">
        <v>1</v>
      </c>
      <c r="Q22" s="18">
        <v>0</v>
      </c>
      <c r="R22" s="18">
        <v>0</v>
      </c>
      <c r="S22" s="18">
        <v>0</v>
      </c>
      <c r="T22" s="32">
        <v>1</v>
      </c>
      <c r="U22" s="46">
        <v>0</v>
      </c>
    </row>
    <row r="23" spans="1:27" x14ac:dyDescent="0.25">
      <c r="A23" t="s">
        <v>34</v>
      </c>
      <c r="B23" t="s">
        <v>9</v>
      </c>
      <c r="C23" s="2" t="s">
        <v>35</v>
      </c>
      <c r="D23" t="s">
        <v>15</v>
      </c>
      <c r="F23" s="29" t="s">
        <v>75</v>
      </c>
      <c r="G23" s="22">
        <v>1</v>
      </c>
      <c r="H23" s="23">
        <v>0</v>
      </c>
      <c r="I23" s="23">
        <v>1</v>
      </c>
      <c r="J23" s="24">
        <v>0</v>
      </c>
      <c r="K23" s="18">
        <v>1</v>
      </c>
      <c r="L23" s="21">
        <v>1</v>
      </c>
      <c r="M23" s="18">
        <v>1</v>
      </c>
      <c r="N23" s="18">
        <v>0</v>
      </c>
      <c r="O23" s="18">
        <v>0</v>
      </c>
      <c r="P23" s="18">
        <v>1</v>
      </c>
      <c r="Q23" s="18">
        <v>0</v>
      </c>
      <c r="R23" s="18">
        <v>0</v>
      </c>
      <c r="S23" s="18">
        <v>0</v>
      </c>
      <c r="T23" s="32">
        <v>0</v>
      </c>
      <c r="U23" s="46">
        <v>0</v>
      </c>
    </row>
    <row r="24" spans="1:27" x14ac:dyDescent="0.25">
      <c r="F24" s="29" t="s">
        <v>3</v>
      </c>
      <c r="G24" s="22">
        <v>0</v>
      </c>
      <c r="H24" s="23">
        <v>1</v>
      </c>
      <c r="I24" s="23">
        <v>1</v>
      </c>
      <c r="J24" s="24">
        <v>1</v>
      </c>
      <c r="K24" s="18">
        <v>0</v>
      </c>
      <c r="L24" s="18">
        <v>0</v>
      </c>
      <c r="M24" s="18">
        <v>0</v>
      </c>
      <c r="N24" s="18">
        <v>1</v>
      </c>
      <c r="O24" s="18">
        <v>0</v>
      </c>
      <c r="P24" s="18">
        <v>1</v>
      </c>
      <c r="Q24" s="18">
        <v>0</v>
      </c>
      <c r="R24" s="18">
        <v>0</v>
      </c>
      <c r="S24" s="18">
        <v>0</v>
      </c>
      <c r="T24" s="32">
        <v>1</v>
      </c>
      <c r="U24" s="46">
        <v>0</v>
      </c>
    </row>
    <row r="25" spans="1:27" x14ac:dyDescent="0.25">
      <c r="A25" s="1" t="s">
        <v>38</v>
      </c>
      <c r="F25" s="29" t="s">
        <v>4</v>
      </c>
      <c r="G25" s="22">
        <v>1</v>
      </c>
      <c r="H25" s="23">
        <v>1</v>
      </c>
      <c r="I25" s="23">
        <v>0</v>
      </c>
      <c r="J25" s="24">
        <v>0</v>
      </c>
      <c r="K25" s="18">
        <v>0</v>
      </c>
      <c r="L25" s="25">
        <v>0</v>
      </c>
      <c r="M25" s="18">
        <v>0</v>
      </c>
      <c r="N25" s="18">
        <v>1</v>
      </c>
      <c r="O25" s="18">
        <v>1</v>
      </c>
      <c r="P25" s="18">
        <v>1</v>
      </c>
      <c r="Q25" s="18">
        <v>0</v>
      </c>
      <c r="R25" s="18">
        <v>0</v>
      </c>
      <c r="S25" s="18">
        <v>0</v>
      </c>
      <c r="T25" s="32">
        <v>1</v>
      </c>
      <c r="U25" s="46">
        <v>0</v>
      </c>
    </row>
    <row r="26" spans="1:27" x14ac:dyDescent="0.25">
      <c r="A26" t="s">
        <v>8</v>
      </c>
      <c r="B26" t="s">
        <v>9</v>
      </c>
      <c r="C26" t="s">
        <v>39</v>
      </c>
      <c r="D26" t="s">
        <v>93</v>
      </c>
      <c r="F26" s="29" t="s">
        <v>76</v>
      </c>
      <c r="G26" s="22">
        <v>1</v>
      </c>
      <c r="H26" s="23">
        <v>1</v>
      </c>
      <c r="I26" s="23">
        <v>0</v>
      </c>
      <c r="J26" s="24">
        <v>0</v>
      </c>
      <c r="K26" s="18">
        <v>1</v>
      </c>
      <c r="L26" s="18">
        <v>1</v>
      </c>
      <c r="M26" s="18">
        <v>0</v>
      </c>
      <c r="N26" s="18">
        <v>1</v>
      </c>
      <c r="O26" s="18">
        <v>0</v>
      </c>
      <c r="P26" s="18">
        <v>1</v>
      </c>
      <c r="Q26" s="18">
        <v>0</v>
      </c>
      <c r="R26" s="18">
        <v>0</v>
      </c>
      <c r="S26" s="18">
        <v>0</v>
      </c>
      <c r="T26" s="32">
        <v>0</v>
      </c>
      <c r="U26" s="46">
        <v>0</v>
      </c>
    </row>
    <row r="27" spans="1:27" x14ac:dyDescent="0.25">
      <c r="F27" s="44" t="s">
        <v>5</v>
      </c>
      <c r="G27" s="45">
        <v>1</v>
      </c>
      <c r="H27" s="45">
        <v>0</v>
      </c>
      <c r="I27" s="45">
        <v>0</v>
      </c>
      <c r="J27" s="45">
        <v>0</v>
      </c>
      <c r="K27" s="46">
        <v>0</v>
      </c>
      <c r="L27" s="46">
        <v>0</v>
      </c>
      <c r="M27" s="46">
        <v>0</v>
      </c>
      <c r="N27" s="46">
        <v>0</v>
      </c>
      <c r="O27" s="46">
        <v>1</v>
      </c>
      <c r="P27" s="46">
        <v>1</v>
      </c>
      <c r="Q27" s="46">
        <v>0</v>
      </c>
      <c r="R27" s="46">
        <v>0</v>
      </c>
      <c r="S27" s="46">
        <v>0</v>
      </c>
      <c r="T27" s="47">
        <v>1</v>
      </c>
      <c r="U27" s="46">
        <v>0</v>
      </c>
    </row>
    <row r="28" spans="1:27" x14ac:dyDescent="0.25">
      <c r="F28" s="29" t="s">
        <v>77</v>
      </c>
      <c r="G28" s="22">
        <v>1</v>
      </c>
      <c r="H28" s="23">
        <v>0</v>
      </c>
      <c r="I28" s="23">
        <v>0</v>
      </c>
      <c r="J28" s="24">
        <v>0</v>
      </c>
      <c r="K28" s="18">
        <v>1</v>
      </c>
      <c r="L28" s="18">
        <v>0</v>
      </c>
      <c r="M28" s="18">
        <v>0</v>
      </c>
      <c r="N28" s="18">
        <v>0</v>
      </c>
      <c r="O28" s="21">
        <v>0</v>
      </c>
      <c r="P28" s="18">
        <v>0</v>
      </c>
      <c r="Q28" s="18">
        <v>0</v>
      </c>
      <c r="R28" s="18">
        <v>0</v>
      </c>
      <c r="S28" s="18">
        <v>1</v>
      </c>
      <c r="T28" s="32">
        <v>0</v>
      </c>
      <c r="U28" s="46">
        <v>0</v>
      </c>
    </row>
    <row r="29" spans="1:27" x14ac:dyDescent="0.25">
      <c r="C29" s="2"/>
      <c r="F29" s="29" t="s">
        <v>31</v>
      </c>
      <c r="G29" s="22">
        <v>1</v>
      </c>
      <c r="H29" s="23">
        <v>1</v>
      </c>
      <c r="I29" s="23">
        <v>1</v>
      </c>
      <c r="J29" s="24">
        <v>0</v>
      </c>
      <c r="K29" s="18">
        <v>0</v>
      </c>
      <c r="L29" s="25">
        <v>0</v>
      </c>
      <c r="M29" s="18">
        <v>0</v>
      </c>
      <c r="N29" s="18">
        <v>0</v>
      </c>
      <c r="O29" s="18">
        <v>1</v>
      </c>
      <c r="P29" s="18">
        <v>1</v>
      </c>
      <c r="Q29" s="18">
        <v>0</v>
      </c>
      <c r="R29" s="18">
        <v>1</v>
      </c>
      <c r="S29" s="18">
        <v>0</v>
      </c>
      <c r="T29" s="32">
        <v>1</v>
      </c>
      <c r="U29" s="46">
        <v>0</v>
      </c>
    </row>
    <row r="30" spans="1:27" x14ac:dyDescent="0.25">
      <c r="F30" s="29" t="s">
        <v>78</v>
      </c>
      <c r="G30" s="22">
        <v>1</v>
      </c>
      <c r="H30" s="23">
        <v>1</v>
      </c>
      <c r="I30" s="23">
        <v>1</v>
      </c>
      <c r="J30" s="24">
        <v>0</v>
      </c>
      <c r="K30" s="18">
        <v>1</v>
      </c>
      <c r="L30" s="18">
        <v>0</v>
      </c>
      <c r="M30" s="18">
        <v>0</v>
      </c>
      <c r="N30" s="18">
        <v>0</v>
      </c>
      <c r="O30" s="18">
        <v>0</v>
      </c>
      <c r="P30" s="18">
        <v>0</v>
      </c>
      <c r="Q30" s="18">
        <v>0</v>
      </c>
      <c r="R30" s="18">
        <v>1</v>
      </c>
      <c r="S30" s="18">
        <v>1</v>
      </c>
      <c r="T30" s="32">
        <v>0</v>
      </c>
      <c r="U30" s="46">
        <v>0</v>
      </c>
      <c r="W30" t="s">
        <v>72</v>
      </c>
    </row>
    <row r="31" spans="1:27" x14ac:dyDescent="0.25">
      <c r="A31" s="1"/>
      <c r="F31" s="29" t="s">
        <v>6</v>
      </c>
      <c r="G31" s="22">
        <v>0</v>
      </c>
      <c r="H31" s="23">
        <v>1</v>
      </c>
      <c r="I31" s="23">
        <v>1</v>
      </c>
      <c r="J31" s="24">
        <v>0</v>
      </c>
      <c r="K31" s="18">
        <v>0</v>
      </c>
      <c r="L31" s="18">
        <v>0</v>
      </c>
      <c r="M31" s="18">
        <v>0</v>
      </c>
      <c r="N31" s="18">
        <v>0</v>
      </c>
      <c r="O31" s="18">
        <v>0</v>
      </c>
      <c r="P31" s="18">
        <v>1</v>
      </c>
      <c r="Q31" s="18">
        <v>1</v>
      </c>
      <c r="R31" s="18">
        <v>0</v>
      </c>
      <c r="S31" s="18">
        <v>1</v>
      </c>
      <c r="T31" s="32">
        <v>1</v>
      </c>
      <c r="U31" s="46">
        <v>0</v>
      </c>
      <c r="W31" t="s">
        <v>45</v>
      </c>
    </row>
    <row r="32" spans="1:27" x14ac:dyDescent="0.25">
      <c r="F32" s="33" t="s">
        <v>11</v>
      </c>
      <c r="G32" s="34">
        <v>0</v>
      </c>
      <c r="H32" s="35">
        <v>0</v>
      </c>
      <c r="I32" s="35">
        <v>0</v>
      </c>
      <c r="J32" s="36">
        <v>1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1</v>
      </c>
      <c r="Q32" s="37">
        <v>0</v>
      </c>
      <c r="R32" s="37">
        <v>0</v>
      </c>
      <c r="S32" s="37">
        <v>0</v>
      </c>
      <c r="T32" s="38">
        <v>1</v>
      </c>
      <c r="U32" s="46">
        <v>0</v>
      </c>
      <c r="W32" t="s">
        <v>41</v>
      </c>
      <c r="X32" t="s">
        <v>44</v>
      </c>
      <c r="AA32" t="s">
        <v>47</v>
      </c>
    </row>
    <row r="33" spans="1:27" x14ac:dyDescent="0.25">
      <c r="F33" s="33" t="s">
        <v>119</v>
      </c>
      <c r="G33" s="34">
        <v>0</v>
      </c>
      <c r="H33" s="35">
        <v>1</v>
      </c>
      <c r="I33" s="35">
        <v>1</v>
      </c>
      <c r="J33" s="36">
        <v>1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1</v>
      </c>
      <c r="Q33" s="37">
        <v>0</v>
      </c>
      <c r="R33" s="37">
        <v>0</v>
      </c>
      <c r="S33" s="37">
        <v>0</v>
      </c>
      <c r="T33" s="35" t="s">
        <v>58</v>
      </c>
      <c r="U33" s="50">
        <v>1</v>
      </c>
      <c r="W33" t="s">
        <v>46</v>
      </c>
      <c r="AA33" t="s">
        <v>48</v>
      </c>
    </row>
    <row r="34" spans="1:27" x14ac:dyDescent="0.25">
      <c r="F34" s="11"/>
      <c r="U34" s="41"/>
      <c r="W34" t="s">
        <v>27</v>
      </c>
      <c r="AA34" t="s">
        <v>49</v>
      </c>
    </row>
    <row r="35" spans="1:27" x14ac:dyDescent="0.25">
      <c r="A35" s="1"/>
      <c r="B35" s="1"/>
      <c r="C35" s="7"/>
      <c r="D35" s="5"/>
      <c r="E35" s="5"/>
      <c r="F35" s="13"/>
      <c r="U35" s="41"/>
      <c r="W35" t="s">
        <v>29</v>
      </c>
      <c r="AA35" t="s">
        <v>50</v>
      </c>
    </row>
    <row r="36" spans="1:27" x14ac:dyDescent="0.25">
      <c r="B36" s="1"/>
      <c r="C36" s="7"/>
      <c r="D36" s="5"/>
      <c r="E36" s="5"/>
      <c r="F36" s="13"/>
      <c r="U36" s="41"/>
      <c r="W36" t="s">
        <v>42</v>
      </c>
      <c r="AA36" t="s">
        <v>51</v>
      </c>
    </row>
    <row r="37" spans="1:27" x14ac:dyDescent="0.25">
      <c r="B37" s="1"/>
      <c r="C37" s="7"/>
      <c r="D37" s="5"/>
      <c r="E37" s="5"/>
      <c r="F37" s="13"/>
      <c r="I37" t="s">
        <v>120</v>
      </c>
      <c r="W37" t="s">
        <v>43</v>
      </c>
      <c r="AA37" t="s">
        <v>50</v>
      </c>
    </row>
    <row r="38" spans="1:27" x14ac:dyDescent="0.25">
      <c r="B38" s="1"/>
      <c r="C38" s="7"/>
      <c r="D38" s="5"/>
      <c r="E38" s="5"/>
      <c r="F38" s="13"/>
      <c r="J38" t="s">
        <v>122</v>
      </c>
      <c r="AA38" t="s">
        <v>52</v>
      </c>
    </row>
    <row r="39" spans="1:27" x14ac:dyDescent="0.25">
      <c r="B39" s="1"/>
      <c r="C39" s="7"/>
      <c r="D39" s="5"/>
      <c r="E39" s="5"/>
      <c r="F39" s="13"/>
      <c r="J39" t="s">
        <v>121</v>
      </c>
      <c r="R39" t="s">
        <v>105</v>
      </c>
      <c r="AA39" t="s">
        <v>53</v>
      </c>
    </row>
    <row r="40" spans="1:27" x14ac:dyDescent="0.25">
      <c r="B40" s="1"/>
      <c r="C40" s="7"/>
      <c r="D40" s="5"/>
      <c r="E40" s="5"/>
      <c r="F40" s="13"/>
      <c r="AA40" t="s">
        <v>54</v>
      </c>
    </row>
    <row r="41" spans="1:27" x14ac:dyDescent="0.25">
      <c r="B41" s="1"/>
      <c r="C41" s="7"/>
      <c r="D41" s="5"/>
      <c r="E41" s="5"/>
      <c r="F41" s="13"/>
      <c r="I41" t="s">
        <v>125</v>
      </c>
    </row>
    <row r="42" spans="1:27" x14ac:dyDescent="0.25">
      <c r="B42" s="1"/>
      <c r="C42" s="7"/>
      <c r="D42" s="5"/>
      <c r="E42" s="5"/>
      <c r="F42" s="13"/>
      <c r="J42" t="s">
        <v>126</v>
      </c>
    </row>
    <row r="43" spans="1:27" x14ac:dyDescent="0.25">
      <c r="F43" s="11"/>
      <c r="J43" t="s">
        <v>127</v>
      </c>
    </row>
    <row r="44" spans="1:27" x14ac:dyDescent="0.25">
      <c r="J44" t="s">
        <v>128</v>
      </c>
    </row>
    <row r="45" spans="1:27" x14ac:dyDescent="0.25">
      <c r="J45" t="s">
        <v>129</v>
      </c>
    </row>
    <row r="46" spans="1:27" x14ac:dyDescent="0.25">
      <c r="J46" t="s">
        <v>130</v>
      </c>
    </row>
    <row r="47" spans="1:27" x14ac:dyDescent="0.25">
      <c r="J47" t="s">
        <v>131</v>
      </c>
    </row>
  </sheetData>
  <mergeCells count="2">
    <mergeCell ref="F17:I18"/>
    <mergeCell ref="A1:D1"/>
  </mergeCells>
  <conditionalFormatting sqref="L21:S32 T30">
    <cfRule type="cellIs" dxfId="9" priority="4" operator="greaterThan">
      <formula>0.5</formula>
    </cfRule>
  </conditionalFormatting>
  <conditionalFormatting sqref="S21:U32">
    <cfRule type="cellIs" dxfId="8" priority="3" operator="greaterThan">
      <formula>0.5</formula>
    </cfRule>
  </conditionalFormatting>
  <conditionalFormatting sqref="O33">
    <cfRule type="cellIs" dxfId="7" priority="2" operator="greaterThan">
      <formula>0.5</formula>
    </cfRule>
  </conditionalFormatting>
  <conditionalFormatting sqref="P33">
    <cfRule type="cellIs" dxfId="6" priority="1" operator="greaterThan">
      <formula>0.5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37"/>
  <sheetViews>
    <sheetView zoomScaleNormal="100" workbookViewId="0">
      <selection activeCell="AC17" sqref="AC17"/>
    </sheetView>
  </sheetViews>
  <sheetFormatPr defaultRowHeight="15" x14ac:dyDescent="0.25"/>
  <cols>
    <col min="1" max="1" width="16.85546875" bestFit="1" customWidth="1"/>
    <col min="3" max="3" width="11.28515625" bestFit="1" customWidth="1"/>
  </cols>
  <sheetData>
    <row r="1" spans="1:7" x14ac:dyDescent="0.25">
      <c r="A1" t="s">
        <v>0</v>
      </c>
    </row>
    <row r="2" spans="1:7" x14ac:dyDescent="0.25">
      <c r="A2" t="s">
        <v>1</v>
      </c>
      <c r="C2" s="3"/>
      <c r="D2" s="3"/>
      <c r="E2" s="3"/>
      <c r="F2" s="3"/>
      <c r="G2" s="3"/>
    </row>
    <row r="3" spans="1:7" x14ac:dyDescent="0.25">
      <c r="A3" t="s">
        <v>2</v>
      </c>
      <c r="C3" s="3"/>
      <c r="D3" s="3"/>
      <c r="E3" s="3"/>
      <c r="F3" s="3"/>
      <c r="G3" s="3"/>
    </row>
    <row r="4" spans="1:7" x14ac:dyDescent="0.25">
      <c r="A4" t="s">
        <v>3</v>
      </c>
      <c r="C4" s="3"/>
      <c r="D4" s="3"/>
      <c r="E4" s="3"/>
      <c r="F4" s="3"/>
      <c r="G4" s="3"/>
    </row>
    <row r="5" spans="1:7" x14ac:dyDescent="0.25">
      <c r="A5" t="s">
        <v>4</v>
      </c>
      <c r="C5" s="3"/>
      <c r="D5" s="3"/>
      <c r="E5" s="3"/>
      <c r="F5" s="3"/>
      <c r="G5" s="3"/>
    </row>
    <row r="6" spans="1:7" x14ac:dyDescent="0.25">
      <c r="A6" t="s">
        <v>5</v>
      </c>
      <c r="C6" s="3"/>
      <c r="D6" s="3"/>
      <c r="E6" s="3"/>
      <c r="F6" s="3"/>
      <c r="G6" s="3"/>
    </row>
    <row r="7" spans="1:7" x14ac:dyDescent="0.25">
      <c r="A7" t="s">
        <v>31</v>
      </c>
      <c r="C7" s="3"/>
      <c r="D7" s="3"/>
      <c r="E7" s="3"/>
      <c r="F7" s="3"/>
      <c r="G7" s="3"/>
    </row>
    <row r="8" spans="1:7" x14ac:dyDescent="0.25">
      <c r="A8" t="s">
        <v>6</v>
      </c>
      <c r="C8" s="3"/>
      <c r="D8" s="3"/>
      <c r="E8" s="3"/>
      <c r="F8" s="3"/>
      <c r="G8" s="3"/>
    </row>
    <row r="9" spans="1:7" x14ac:dyDescent="0.25">
      <c r="A9" t="s">
        <v>11</v>
      </c>
      <c r="C9" s="3"/>
      <c r="D9" s="3"/>
      <c r="E9" s="3"/>
      <c r="F9" s="3"/>
      <c r="G9" s="3"/>
    </row>
    <row r="11" spans="1:7" x14ac:dyDescent="0.25">
      <c r="A11" t="s">
        <v>7</v>
      </c>
      <c r="B11" t="s">
        <v>12</v>
      </c>
      <c r="C11" t="s">
        <v>13</v>
      </c>
      <c r="D11" t="s">
        <v>17</v>
      </c>
    </row>
    <row r="12" spans="1:7" x14ac:dyDescent="0.25">
      <c r="A12" s="1" t="s">
        <v>1</v>
      </c>
    </row>
    <row r="13" spans="1:7" x14ac:dyDescent="0.25">
      <c r="A13" t="s">
        <v>8</v>
      </c>
      <c r="B13" t="s">
        <v>9</v>
      </c>
      <c r="C13" t="s">
        <v>16</v>
      </c>
      <c r="D13" t="s">
        <v>18</v>
      </c>
    </row>
    <row r="15" spans="1:7" x14ac:dyDescent="0.25">
      <c r="A15" s="1" t="s">
        <v>2</v>
      </c>
    </row>
    <row r="16" spans="1:7" x14ac:dyDescent="0.25">
      <c r="A16" t="s">
        <v>8</v>
      </c>
      <c r="B16" t="s">
        <v>71</v>
      </c>
      <c r="C16" t="s">
        <v>15</v>
      </c>
      <c r="D16" t="s">
        <v>18</v>
      </c>
    </row>
    <row r="17" spans="1:7" x14ac:dyDescent="0.25">
      <c r="A17" t="s">
        <v>10</v>
      </c>
      <c r="B17" t="s">
        <v>9</v>
      </c>
      <c r="C17" t="s">
        <v>16</v>
      </c>
      <c r="D17" t="s">
        <v>19</v>
      </c>
    </row>
    <row r="19" spans="1:7" x14ac:dyDescent="0.25">
      <c r="A19" s="1" t="s">
        <v>3</v>
      </c>
    </row>
    <row r="20" spans="1:7" x14ac:dyDescent="0.25">
      <c r="A20" t="s">
        <v>8</v>
      </c>
      <c r="B20" t="s">
        <v>9</v>
      </c>
      <c r="C20" t="s">
        <v>21</v>
      </c>
      <c r="D20" t="s">
        <v>18</v>
      </c>
    </row>
    <row r="22" spans="1:7" x14ac:dyDescent="0.25">
      <c r="A22" s="1" t="s">
        <v>4</v>
      </c>
    </row>
    <row r="23" spans="1:7" x14ac:dyDescent="0.25">
      <c r="A23" t="s">
        <v>8</v>
      </c>
      <c r="B23" t="s">
        <v>71</v>
      </c>
      <c r="C23" t="s">
        <v>15</v>
      </c>
      <c r="D23" t="s">
        <v>18</v>
      </c>
    </row>
    <row r="24" spans="1:7" x14ac:dyDescent="0.25">
      <c r="A24" t="s">
        <v>20</v>
      </c>
      <c r="B24" t="s">
        <v>9</v>
      </c>
      <c r="C24" s="2" t="s">
        <v>21</v>
      </c>
      <c r="D24" t="s">
        <v>19</v>
      </c>
    </row>
    <row r="26" spans="1:7" x14ac:dyDescent="0.25">
      <c r="A26" s="1" t="s">
        <v>5</v>
      </c>
      <c r="G26" t="s">
        <v>22</v>
      </c>
    </row>
    <row r="27" spans="1:7" x14ac:dyDescent="0.25">
      <c r="A27" t="s">
        <v>8</v>
      </c>
      <c r="B27" t="s">
        <v>71</v>
      </c>
      <c r="C27" t="s">
        <v>15</v>
      </c>
      <c r="D27" t="s">
        <v>18</v>
      </c>
      <c r="G27" t="s">
        <v>23</v>
      </c>
    </row>
    <row r="28" spans="1:7" x14ac:dyDescent="0.25">
      <c r="A28" t="s">
        <v>34</v>
      </c>
      <c r="B28" t="s">
        <v>9</v>
      </c>
      <c r="C28" s="2" t="s">
        <v>35</v>
      </c>
      <c r="D28" t="s">
        <v>36</v>
      </c>
      <c r="G28" t="s">
        <v>24</v>
      </c>
    </row>
    <row r="30" spans="1:7" x14ac:dyDescent="0.25">
      <c r="A30" s="1" t="s">
        <v>37</v>
      </c>
      <c r="G30" t="s">
        <v>25</v>
      </c>
    </row>
    <row r="31" spans="1:7" x14ac:dyDescent="0.25">
      <c r="A31" t="s">
        <v>8</v>
      </c>
      <c r="B31" t="s">
        <v>71</v>
      </c>
      <c r="C31" t="s">
        <v>15</v>
      </c>
      <c r="D31" t="s">
        <v>18</v>
      </c>
      <c r="G31" t="s">
        <v>27</v>
      </c>
    </row>
    <row r="32" spans="1:7" x14ac:dyDescent="0.25">
      <c r="A32" t="s">
        <v>34</v>
      </c>
      <c r="B32" t="s">
        <v>9</v>
      </c>
      <c r="C32" s="2" t="s">
        <v>35</v>
      </c>
      <c r="D32" t="s">
        <v>15</v>
      </c>
      <c r="G32" t="s">
        <v>26</v>
      </c>
    </row>
    <row r="33" spans="1:7" x14ac:dyDescent="0.25">
      <c r="G33" t="s">
        <v>28</v>
      </c>
    </row>
    <row r="34" spans="1:7" x14ac:dyDescent="0.25">
      <c r="A34" s="1" t="s">
        <v>38</v>
      </c>
      <c r="G34" t="s">
        <v>29</v>
      </c>
    </row>
    <row r="35" spans="1:7" x14ac:dyDescent="0.25">
      <c r="A35" t="s">
        <v>8</v>
      </c>
      <c r="B35" t="s">
        <v>9</v>
      </c>
      <c r="C35" t="s">
        <v>39</v>
      </c>
      <c r="D35" t="s">
        <v>18</v>
      </c>
      <c r="G35" t="s">
        <v>30</v>
      </c>
    </row>
    <row r="36" spans="1:7" x14ac:dyDescent="0.25">
      <c r="G36" t="s">
        <v>32</v>
      </c>
    </row>
    <row r="37" spans="1:7" x14ac:dyDescent="0.25">
      <c r="G37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84"/>
  <sheetViews>
    <sheetView workbookViewId="0">
      <selection activeCell="H18" sqref="H18"/>
    </sheetView>
  </sheetViews>
  <sheetFormatPr defaultRowHeight="15" x14ac:dyDescent="0.25"/>
  <sheetData>
    <row r="1" spans="1:8" x14ac:dyDescent="0.25">
      <c r="A1" t="s">
        <v>79</v>
      </c>
      <c r="B1">
        <v>0</v>
      </c>
      <c r="C1" t="str">
        <f>DEC2BIN(B1,4)</f>
        <v>0000</v>
      </c>
      <c r="D1" t="str">
        <f>Compile(A1,C1)</f>
        <v>00110000</v>
      </c>
      <c r="H1" t="s">
        <v>0</v>
      </c>
    </row>
    <row r="2" spans="1:8" x14ac:dyDescent="0.25">
      <c r="A2" t="s">
        <v>86</v>
      </c>
      <c r="C2" t="str">
        <f t="shared" ref="C2:C44" si="0">DEC2BIN(B2,4)</f>
        <v>0000</v>
      </c>
      <c r="D2" t="str">
        <f>Compile(A2,C2)</f>
        <v>01100000</v>
      </c>
      <c r="H2" s="1" t="s">
        <v>81</v>
      </c>
    </row>
    <row r="3" spans="1:8" x14ac:dyDescent="0.25">
      <c r="A3" t="s">
        <v>79</v>
      </c>
      <c r="B3" s="2">
        <v>1</v>
      </c>
      <c r="C3" t="str">
        <f t="shared" si="0"/>
        <v>0001</v>
      </c>
      <c r="D3" t="str">
        <f t="shared" ref="D3:D42" si="1">Compile(A3,C3)</f>
        <v>00110001</v>
      </c>
      <c r="H3" s="1" t="s">
        <v>82</v>
      </c>
    </row>
    <row r="4" spans="1:8" x14ac:dyDescent="0.25">
      <c r="A4" t="s">
        <v>86</v>
      </c>
      <c r="C4" t="str">
        <f t="shared" si="0"/>
        <v>0000</v>
      </c>
      <c r="D4" t="str">
        <f t="shared" si="1"/>
        <v>01100000</v>
      </c>
      <c r="H4" s="1" t="s">
        <v>83</v>
      </c>
    </row>
    <row r="5" spans="1:8" x14ac:dyDescent="0.25">
      <c r="A5" t="s">
        <v>79</v>
      </c>
      <c r="B5">
        <v>2</v>
      </c>
      <c r="C5" t="str">
        <f t="shared" si="0"/>
        <v>0010</v>
      </c>
      <c r="D5" t="str">
        <f t="shared" si="1"/>
        <v>00110010</v>
      </c>
      <c r="H5" s="1" t="s">
        <v>80</v>
      </c>
    </row>
    <row r="6" spans="1:8" x14ac:dyDescent="0.25">
      <c r="A6" t="s">
        <v>86</v>
      </c>
      <c r="C6" t="str">
        <f t="shared" si="0"/>
        <v>0000</v>
      </c>
      <c r="D6" t="str">
        <f t="shared" si="1"/>
        <v>01100000</v>
      </c>
      <c r="H6" s="1" t="s">
        <v>84</v>
      </c>
    </row>
    <row r="7" spans="1:8" x14ac:dyDescent="0.25">
      <c r="A7" t="s">
        <v>79</v>
      </c>
      <c r="B7" s="2">
        <v>3</v>
      </c>
      <c r="C7" t="str">
        <f t="shared" si="0"/>
        <v>0011</v>
      </c>
      <c r="D7" t="str">
        <f t="shared" si="1"/>
        <v>00110011</v>
      </c>
      <c r="H7" s="1" t="s">
        <v>85</v>
      </c>
    </row>
    <row r="8" spans="1:8" x14ac:dyDescent="0.25">
      <c r="A8" t="s">
        <v>86</v>
      </c>
      <c r="C8" t="str">
        <f t="shared" si="0"/>
        <v>0000</v>
      </c>
      <c r="D8" t="str">
        <f t="shared" si="1"/>
        <v>01100000</v>
      </c>
      <c r="H8" s="1" t="s">
        <v>6</v>
      </c>
    </row>
    <row r="9" spans="1:8" x14ac:dyDescent="0.25">
      <c r="A9" t="s">
        <v>79</v>
      </c>
      <c r="B9">
        <v>4</v>
      </c>
      <c r="C9" t="str">
        <f t="shared" si="0"/>
        <v>0100</v>
      </c>
      <c r="D9" t="str">
        <f t="shared" si="1"/>
        <v>00110100</v>
      </c>
      <c r="H9" s="1" t="s">
        <v>11</v>
      </c>
    </row>
    <row r="10" spans="1:8" x14ac:dyDescent="0.25">
      <c r="A10" t="s">
        <v>86</v>
      </c>
      <c r="C10" t="str">
        <f t="shared" si="0"/>
        <v>0000</v>
      </c>
      <c r="D10" t="str">
        <f t="shared" si="1"/>
        <v>01100000</v>
      </c>
    </row>
    <row r="11" spans="1:8" x14ac:dyDescent="0.25">
      <c r="A11" t="s">
        <v>79</v>
      </c>
      <c r="B11" s="2">
        <v>5</v>
      </c>
      <c r="C11" t="str">
        <f t="shared" si="0"/>
        <v>0101</v>
      </c>
      <c r="D11" t="str">
        <f t="shared" si="1"/>
        <v>00110101</v>
      </c>
    </row>
    <row r="12" spans="1:8" x14ac:dyDescent="0.25">
      <c r="A12" t="s">
        <v>86</v>
      </c>
      <c r="C12" t="str">
        <f t="shared" si="0"/>
        <v>0000</v>
      </c>
      <c r="D12" t="str">
        <f t="shared" si="1"/>
        <v>01100000</v>
      </c>
    </row>
    <row r="13" spans="1:8" x14ac:dyDescent="0.25">
      <c r="A13" t="s">
        <v>79</v>
      </c>
      <c r="B13">
        <v>6</v>
      </c>
      <c r="C13" t="str">
        <f t="shared" si="0"/>
        <v>0110</v>
      </c>
      <c r="D13" t="str">
        <f t="shared" si="1"/>
        <v>00110110</v>
      </c>
    </row>
    <row r="14" spans="1:8" x14ac:dyDescent="0.25">
      <c r="A14" t="s">
        <v>86</v>
      </c>
      <c r="C14" t="str">
        <f t="shared" si="0"/>
        <v>0000</v>
      </c>
      <c r="D14" t="str">
        <f t="shared" si="1"/>
        <v>01100000</v>
      </c>
    </row>
    <row r="15" spans="1:8" x14ac:dyDescent="0.25">
      <c r="A15" t="s">
        <v>79</v>
      </c>
      <c r="B15" s="2">
        <v>7</v>
      </c>
      <c r="C15" t="str">
        <f t="shared" si="0"/>
        <v>0111</v>
      </c>
      <c r="D15" t="str">
        <f t="shared" si="1"/>
        <v>00110111</v>
      </c>
    </row>
    <row r="16" spans="1:8" x14ac:dyDescent="0.25">
      <c r="A16" t="s">
        <v>86</v>
      </c>
      <c r="C16" t="str">
        <f t="shared" si="0"/>
        <v>0000</v>
      </c>
      <c r="D16" t="str">
        <f t="shared" si="1"/>
        <v>01100000</v>
      </c>
    </row>
    <row r="17" spans="1:4" x14ac:dyDescent="0.25">
      <c r="A17" t="s">
        <v>79</v>
      </c>
      <c r="B17">
        <v>8</v>
      </c>
      <c r="C17" t="str">
        <f t="shared" si="0"/>
        <v>1000</v>
      </c>
      <c r="D17" t="str">
        <f t="shared" si="1"/>
        <v>00111000</v>
      </c>
    </row>
    <row r="18" spans="1:4" x14ac:dyDescent="0.25">
      <c r="A18" t="s">
        <v>86</v>
      </c>
      <c r="C18" t="str">
        <f t="shared" si="0"/>
        <v>0000</v>
      </c>
      <c r="D18" t="str">
        <f t="shared" si="1"/>
        <v>01100000</v>
      </c>
    </row>
    <row r="19" spans="1:4" x14ac:dyDescent="0.25">
      <c r="A19" t="s">
        <v>79</v>
      </c>
      <c r="B19" s="2">
        <v>9</v>
      </c>
      <c r="C19" t="str">
        <f t="shared" si="0"/>
        <v>1001</v>
      </c>
      <c r="D19" t="str">
        <f t="shared" si="1"/>
        <v>00111001</v>
      </c>
    </row>
    <row r="20" spans="1:4" x14ac:dyDescent="0.25">
      <c r="A20" t="s">
        <v>86</v>
      </c>
      <c r="C20" t="str">
        <f t="shared" ref="C20:C40" si="2">DEC2BIN(B21,4)</f>
        <v>1010</v>
      </c>
      <c r="D20" t="str">
        <f t="shared" si="1"/>
        <v>01100000</v>
      </c>
    </row>
    <row r="21" spans="1:4" x14ac:dyDescent="0.25">
      <c r="A21" t="s">
        <v>79</v>
      </c>
      <c r="B21">
        <v>10</v>
      </c>
      <c r="C21" t="str">
        <f t="shared" si="2"/>
        <v>0000</v>
      </c>
      <c r="D21" t="str">
        <f t="shared" si="1"/>
        <v>00110000</v>
      </c>
    </row>
    <row r="22" spans="1:4" x14ac:dyDescent="0.25">
      <c r="A22" t="s">
        <v>86</v>
      </c>
      <c r="C22" t="str">
        <f t="shared" si="2"/>
        <v>1011</v>
      </c>
      <c r="D22" t="str">
        <f t="shared" si="1"/>
        <v>01100000</v>
      </c>
    </row>
    <row r="23" spans="1:4" x14ac:dyDescent="0.25">
      <c r="A23" t="s">
        <v>79</v>
      </c>
      <c r="B23" s="2">
        <v>11</v>
      </c>
      <c r="C23" t="str">
        <f t="shared" si="2"/>
        <v>0000</v>
      </c>
      <c r="D23" t="str">
        <f t="shared" si="1"/>
        <v>00110000</v>
      </c>
    </row>
    <row r="24" spans="1:4" x14ac:dyDescent="0.25">
      <c r="A24" t="s">
        <v>86</v>
      </c>
      <c r="C24" t="str">
        <f t="shared" si="2"/>
        <v>1100</v>
      </c>
      <c r="D24" t="str">
        <f t="shared" si="1"/>
        <v>01100000</v>
      </c>
    </row>
    <row r="25" spans="1:4" x14ac:dyDescent="0.25">
      <c r="A25" t="s">
        <v>79</v>
      </c>
      <c r="B25">
        <v>12</v>
      </c>
      <c r="C25" t="str">
        <f t="shared" si="2"/>
        <v>0000</v>
      </c>
      <c r="D25" t="str">
        <f t="shared" si="1"/>
        <v>00110000</v>
      </c>
    </row>
    <row r="26" spans="1:4" x14ac:dyDescent="0.25">
      <c r="A26" t="s">
        <v>86</v>
      </c>
      <c r="C26" t="str">
        <f t="shared" si="2"/>
        <v>1101</v>
      </c>
      <c r="D26" t="str">
        <f t="shared" si="1"/>
        <v>01100000</v>
      </c>
    </row>
    <row r="27" spans="1:4" x14ac:dyDescent="0.25">
      <c r="A27" t="s">
        <v>79</v>
      </c>
      <c r="B27" s="2">
        <v>13</v>
      </c>
      <c r="C27" t="str">
        <f t="shared" si="2"/>
        <v>0000</v>
      </c>
      <c r="D27" t="str">
        <f t="shared" si="1"/>
        <v>00110000</v>
      </c>
    </row>
    <row r="28" spans="1:4" x14ac:dyDescent="0.25">
      <c r="A28" t="s">
        <v>86</v>
      </c>
      <c r="C28" t="str">
        <f t="shared" si="2"/>
        <v>1110</v>
      </c>
      <c r="D28" t="str">
        <f t="shared" si="1"/>
        <v>01100000</v>
      </c>
    </row>
    <row r="29" spans="1:4" x14ac:dyDescent="0.25">
      <c r="A29" t="s">
        <v>79</v>
      </c>
      <c r="B29">
        <v>14</v>
      </c>
      <c r="C29" t="str">
        <f t="shared" si="2"/>
        <v>0000</v>
      </c>
      <c r="D29" t="str">
        <f t="shared" si="1"/>
        <v>00110000</v>
      </c>
    </row>
    <row r="30" spans="1:4" x14ac:dyDescent="0.25">
      <c r="A30" t="s">
        <v>86</v>
      </c>
      <c r="C30" t="str">
        <f t="shared" si="2"/>
        <v>1111</v>
      </c>
      <c r="D30" t="str">
        <f t="shared" si="1"/>
        <v>01100000</v>
      </c>
    </row>
    <row r="31" spans="1:4" x14ac:dyDescent="0.25">
      <c r="A31" t="s">
        <v>79</v>
      </c>
      <c r="B31" s="2">
        <v>15</v>
      </c>
      <c r="C31" t="str">
        <f t="shared" si="2"/>
        <v>0000</v>
      </c>
      <c r="D31" t="str">
        <f t="shared" si="1"/>
        <v>00110000</v>
      </c>
    </row>
    <row r="32" spans="1:4" x14ac:dyDescent="0.25">
      <c r="C32" t="str">
        <f t="shared" si="2"/>
        <v>0000</v>
      </c>
      <c r="D32" t="str">
        <f t="shared" si="1"/>
        <v/>
      </c>
    </row>
    <row r="33" spans="2:4" x14ac:dyDescent="0.25">
      <c r="C33" t="str">
        <f t="shared" si="2"/>
        <v>0000</v>
      </c>
      <c r="D33" t="str">
        <f t="shared" si="1"/>
        <v/>
      </c>
    </row>
    <row r="34" spans="2:4" x14ac:dyDescent="0.25">
      <c r="C34" t="str">
        <f t="shared" si="2"/>
        <v>0000</v>
      </c>
      <c r="D34" t="str">
        <f t="shared" si="1"/>
        <v/>
      </c>
    </row>
    <row r="35" spans="2:4" x14ac:dyDescent="0.25">
      <c r="B35" s="2"/>
      <c r="C35" t="str">
        <f t="shared" si="2"/>
        <v>0000</v>
      </c>
      <c r="D35" t="str">
        <f t="shared" si="1"/>
        <v/>
      </c>
    </row>
    <row r="36" spans="2:4" x14ac:dyDescent="0.25">
      <c r="C36" t="str">
        <f t="shared" si="2"/>
        <v>0000</v>
      </c>
      <c r="D36" t="str">
        <f t="shared" si="1"/>
        <v/>
      </c>
    </row>
    <row r="37" spans="2:4" x14ac:dyDescent="0.25">
      <c r="C37" t="str">
        <f t="shared" si="2"/>
        <v>0000</v>
      </c>
      <c r="D37" t="str">
        <f t="shared" si="1"/>
        <v/>
      </c>
    </row>
    <row r="38" spans="2:4" x14ac:dyDescent="0.25">
      <c r="C38" t="str">
        <f t="shared" si="2"/>
        <v>0000</v>
      </c>
      <c r="D38" t="str">
        <f t="shared" si="1"/>
        <v/>
      </c>
    </row>
    <row r="39" spans="2:4" x14ac:dyDescent="0.25">
      <c r="B39" s="2"/>
      <c r="C39" t="str">
        <f t="shared" si="2"/>
        <v>0000</v>
      </c>
      <c r="D39" t="str">
        <f t="shared" si="1"/>
        <v/>
      </c>
    </row>
    <row r="40" spans="2:4" x14ac:dyDescent="0.25">
      <c r="C40" t="str">
        <f t="shared" si="2"/>
        <v>0000</v>
      </c>
      <c r="D40" t="str">
        <f t="shared" si="1"/>
        <v/>
      </c>
    </row>
    <row r="41" spans="2:4" x14ac:dyDescent="0.25">
      <c r="C41" t="str">
        <f t="shared" si="0"/>
        <v>0000</v>
      </c>
      <c r="D41" t="str">
        <f t="shared" si="1"/>
        <v/>
      </c>
    </row>
    <row r="42" spans="2:4" x14ac:dyDescent="0.25">
      <c r="C42" t="str">
        <f t="shared" si="0"/>
        <v>0000</v>
      </c>
      <c r="D42" t="str">
        <f t="shared" si="1"/>
        <v/>
      </c>
    </row>
    <row r="43" spans="2:4" x14ac:dyDescent="0.25">
      <c r="C43" t="str">
        <f t="shared" si="0"/>
        <v>0000</v>
      </c>
      <c r="D43" t="str">
        <f t="shared" ref="D43:D65" si="3">Compile(A43,C43)</f>
        <v/>
      </c>
    </row>
    <row r="44" spans="2:4" x14ac:dyDescent="0.25">
      <c r="C44" t="str">
        <f t="shared" si="0"/>
        <v>0000</v>
      </c>
      <c r="D44" t="str">
        <f t="shared" si="3"/>
        <v/>
      </c>
    </row>
    <row r="45" spans="2:4" x14ac:dyDescent="0.25">
      <c r="D45" t="str">
        <f t="shared" si="3"/>
        <v/>
      </c>
    </row>
    <row r="46" spans="2:4" x14ac:dyDescent="0.25">
      <c r="D46" t="str">
        <f t="shared" si="3"/>
        <v/>
      </c>
    </row>
    <row r="47" spans="2:4" x14ac:dyDescent="0.25">
      <c r="D47" t="str">
        <f t="shared" si="3"/>
        <v/>
      </c>
    </row>
    <row r="48" spans="2:4" x14ac:dyDescent="0.25">
      <c r="D48" t="str">
        <f t="shared" si="3"/>
        <v/>
      </c>
    </row>
    <row r="49" spans="4:4" x14ac:dyDescent="0.25">
      <c r="D49" t="str">
        <f t="shared" si="3"/>
        <v/>
      </c>
    </row>
    <row r="50" spans="4:4" x14ac:dyDescent="0.25">
      <c r="D50" t="str">
        <f t="shared" si="3"/>
        <v/>
      </c>
    </row>
    <row r="51" spans="4:4" x14ac:dyDescent="0.25">
      <c r="D51" t="str">
        <f t="shared" si="3"/>
        <v/>
      </c>
    </row>
    <row r="52" spans="4:4" x14ac:dyDescent="0.25">
      <c r="D52" t="str">
        <f t="shared" si="3"/>
        <v/>
      </c>
    </row>
    <row r="53" spans="4:4" x14ac:dyDescent="0.25">
      <c r="D53" t="str">
        <f t="shared" si="3"/>
        <v/>
      </c>
    </row>
    <row r="54" spans="4:4" x14ac:dyDescent="0.25">
      <c r="D54" t="str">
        <f t="shared" si="3"/>
        <v/>
      </c>
    </row>
    <row r="55" spans="4:4" x14ac:dyDescent="0.25">
      <c r="D55" t="str">
        <f t="shared" si="3"/>
        <v/>
      </c>
    </row>
    <row r="56" spans="4:4" x14ac:dyDescent="0.25">
      <c r="D56" t="str">
        <f t="shared" si="3"/>
        <v/>
      </c>
    </row>
    <row r="57" spans="4:4" x14ac:dyDescent="0.25">
      <c r="D57" t="str">
        <f t="shared" si="3"/>
        <v/>
      </c>
    </row>
    <row r="58" spans="4:4" x14ac:dyDescent="0.25">
      <c r="D58" t="str">
        <f t="shared" si="3"/>
        <v/>
      </c>
    </row>
    <row r="59" spans="4:4" x14ac:dyDescent="0.25">
      <c r="D59" t="str">
        <f t="shared" si="3"/>
        <v/>
      </c>
    </row>
    <row r="60" spans="4:4" x14ac:dyDescent="0.25">
      <c r="D60" t="str">
        <f t="shared" si="3"/>
        <v/>
      </c>
    </row>
    <row r="61" spans="4:4" x14ac:dyDescent="0.25">
      <c r="D61" t="str">
        <f t="shared" si="3"/>
        <v/>
      </c>
    </row>
    <row r="62" spans="4:4" x14ac:dyDescent="0.25">
      <c r="D62" t="str">
        <f t="shared" si="3"/>
        <v/>
      </c>
    </row>
    <row r="63" spans="4:4" x14ac:dyDescent="0.25">
      <c r="D63" t="str">
        <f t="shared" si="3"/>
        <v/>
      </c>
    </row>
    <row r="64" spans="4:4" x14ac:dyDescent="0.25">
      <c r="D64" t="str">
        <f t="shared" si="3"/>
        <v/>
      </c>
    </row>
    <row r="65" spans="4:4" x14ac:dyDescent="0.25">
      <c r="D65" t="str">
        <f t="shared" si="3"/>
        <v/>
      </c>
    </row>
    <row r="66" spans="4:4" x14ac:dyDescent="0.25">
      <c r="D66" t="str">
        <f t="shared" ref="D66:D84" si="4">Compile(A66,C66)</f>
        <v/>
      </c>
    </row>
    <row r="67" spans="4:4" x14ac:dyDescent="0.25">
      <c r="D67" t="str">
        <f t="shared" si="4"/>
        <v/>
      </c>
    </row>
    <row r="68" spans="4:4" x14ac:dyDescent="0.25">
      <c r="D68" t="str">
        <f t="shared" si="4"/>
        <v/>
      </c>
    </row>
    <row r="69" spans="4:4" x14ac:dyDescent="0.25">
      <c r="D69" t="str">
        <f t="shared" si="4"/>
        <v/>
      </c>
    </row>
    <row r="70" spans="4:4" x14ac:dyDescent="0.25">
      <c r="D70" t="str">
        <f t="shared" si="4"/>
        <v/>
      </c>
    </row>
    <row r="71" spans="4:4" x14ac:dyDescent="0.25">
      <c r="D71" t="str">
        <f t="shared" si="4"/>
        <v/>
      </c>
    </row>
    <row r="72" spans="4:4" x14ac:dyDescent="0.25">
      <c r="D72" t="str">
        <f t="shared" si="4"/>
        <v/>
      </c>
    </row>
    <row r="73" spans="4:4" x14ac:dyDescent="0.25">
      <c r="D73" t="str">
        <f t="shared" si="4"/>
        <v/>
      </c>
    </row>
    <row r="74" spans="4:4" x14ac:dyDescent="0.25">
      <c r="D74" t="str">
        <f t="shared" si="4"/>
        <v/>
      </c>
    </row>
    <row r="75" spans="4:4" x14ac:dyDescent="0.25">
      <c r="D75" t="str">
        <f t="shared" si="4"/>
        <v/>
      </c>
    </row>
    <row r="76" spans="4:4" x14ac:dyDescent="0.25">
      <c r="D76" t="str">
        <f t="shared" si="4"/>
        <v/>
      </c>
    </row>
    <row r="77" spans="4:4" x14ac:dyDescent="0.25">
      <c r="D77" t="str">
        <f t="shared" si="4"/>
        <v/>
      </c>
    </row>
    <row r="78" spans="4:4" x14ac:dyDescent="0.25">
      <c r="D78" t="str">
        <f t="shared" si="4"/>
        <v/>
      </c>
    </row>
    <row r="79" spans="4:4" x14ac:dyDescent="0.25">
      <c r="D79" t="str">
        <f t="shared" si="4"/>
        <v/>
      </c>
    </row>
    <row r="80" spans="4:4" x14ac:dyDescent="0.25">
      <c r="D80" t="str">
        <f t="shared" si="4"/>
        <v/>
      </c>
    </row>
    <row r="81" spans="4:4" x14ac:dyDescent="0.25">
      <c r="D81" t="str">
        <f t="shared" si="4"/>
        <v/>
      </c>
    </row>
    <row r="82" spans="4:4" x14ac:dyDescent="0.25">
      <c r="D82" t="str">
        <f t="shared" si="4"/>
        <v/>
      </c>
    </row>
    <row r="83" spans="4:4" x14ac:dyDescent="0.25">
      <c r="D83" t="str">
        <f t="shared" si="4"/>
        <v/>
      </c>
    </row>
    <row r="84" spans="4:4" x14ac:dyDescent="0.25">
      <c r="D84" t="str">
        <f t="shared" si="4"/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2:L98"/>
  <sheetViews>
    <sheetView topLeftCell="A7" workbookViewId="0">
      <selection activeCell="H34" sqref="H34:H53"/>
    </sheetView>
  </sheetViews>
  <sheetFormatPr defaultRowHeight="15" x14ac:dyDescent="0.25"/>
  <cols>
    <col min="9" max="9" width="14" customWidth="1"/>
  </cols>
  <sheetData>
    <row r="2" spans="1:10" x14ac:dyDescent="0.25">
      <c r="A2" t="s">
        <v>79</v>
      </c>
      <c r="B2">
        <v>0</v>
      </c>
      <c r="C2" t="str">
        <f>DEC2BIN(B2,4)</f>
        <v>0000</v>
      </c>
      <c r="D2" t="str">
        <f>Compile(A2,C2)</f>
        <v>00110000</v>
      </c>
      <c r="E2" t="s">
        <v>87</v>
      </c>
      <c r="F2" t="str">
        <f>D2&amp;E2</f>
        <v>00110000,</v>
      </c>
      <c r="G2" t="s">
        <v>21</v>
      </c>
      <c r="H2" t="str">
        <f>G2&amp;F2</f>
        <v>B00110000,</v>
      </c>
      <c r="J2">
        <f>BIN2DEC(D2)</f>
        <v>48</v>
      </c>
    </row>
    <row r="3" spans="1:10" x14ac:dyDescent="0.25">
      <c r="A3" t="s">
        <v>86</v>
      </c>
      <c r="C3" t="str">
        <f t="shared" ref="C3:C20" si="0">DEC2BIN(B3,4)</f>
        <v>0000</v>
      </c>
      <c r="D3" t="str">
        <f t="shared" ref="D3:D32" si="1">Compile(A3,C3)</f>
        <v>01100000</v>
      </c>
      <c r="E3" t="s">
        <v>87</v>
      </c>
      <c r="F3" t="str">
        <f t="shared" ref="F3:F31" si="2">D3&amp;E3</f>
        <v>01100000,</v>
      </c>
      <c r="G3" t="s">
        <v>21</v>
      </c>
      <c r="H3" t="str">
        <f t="shared" ref="H3:H32" si="3">G3&amp;F3</f>
        <v>B01100000,</v>
      </c>
      <c r="J3">
        <f t="shared" ref="J3:J22" si="4">BIN2DEC(D3)</f>
        <v>96</v>
      </c>
    </row>
    <row r="4" spans="1:10" x14ac:dyDescent="0.25">
      <c r="A4" t="s">
        <v>79</v>
      </c>
      <c r="B4" s="2">
        <v>1</v>
      </c>
      <c r="C4" t="str">
        <f t="shared" si="0"/>
        <v>0001</v>
      </c>
      <c r="D4" t="str">
        <f t="shared" si="1"/>
        <v>00110001</v>
      </c>
      <c r="E4" t="s">
        <v>87</v>
      </c>
      <c r="F4" t="str">
        <f t="shared" si="2"/>
        <v>00110001,</v>
      </c>
      <c r="G4" t="s">
        <v>21</v>
      </c>
      <c r="H4" t="str">
        <f t="shared" si="3"/>
        <v>B00110001,</v>
      </c>
      <c r="J4">
        <f t="shared" si="4"/>
        <v>49</v>
      </c>
    </row>
    <row r="5" spans="1:10" x14ac:dyDescent="0.25">
      <c r="A5" t="s">
        <v>86</v>
      </c>
      <c r="C5" t="str">
        <f t="shared" si="0"/>
        <v>0000</v>
      </c>
      <c r="D5" t="str">
        <f t="shared" si="1"/>
        <v>01100000</v>
      </c>
      <c r="E5" t="s">
        <v>87</v>
      </c>
      <c r="F5" t="str">
        <f t="shared" si="2"/>
        <v>01100000,</v>
      </c>
      <c r="G5" t="s">
        <v>21</v>
      </c>
      <c r="H5" t="str">
        <f t="shared" si="3"/>
        <v>B01100000,</v>
      </c>
      <c r="J5">
        <f t="shared" si="4"/>
        <v>96</v>
      </c>
    </row>
    <row r="6" spans="1:10" x14ac:dyDescent="0.25">
      <c r="A6" t="s">
        <v>79</v>
      </c>
      <c r="B6">
        <v>2</v>
      </c>
      <c r="C6" t="str">
        <f t="shared" si="0"/>
        <v>0010</v>
      </c>
      <c r="D6" t="str">
        <f t="shared" si="1"/>
        <v>00110010</v>
      </c>
      <c r="E6" t="s">
        <v>87</v>
      </c>
      <c r="F6" t="str">
        <f t="shared" si="2"/>
        <v>00110010,</v>
      </c>
      <c r="G6" t="s">
        <v>21</v>
      </c>
      <c r="H6" t="str">
        <f t="shared" si="3"/>
        <v>B00110010,</v>
      </c>
      <c r="J6">
        <f t="shared" si="4"/>
        <v>50</v>
      </c>
    </row>
    <row r="7" spans="1:10" x14ac:dyDescent="0.25">
      <c r="A7" t="s">
        <v>86</v>
      </c>
      <c r="C7" t="str">
        <f t="shared" si="0"/>
        <v>0000</v>
      </c>
      <c r="D7" t="str">
        <f t="shared" si="1"/>
        <v>01100000</v>
      </c>
      <c r="E7" t="s">
        <v>87</v>
      </c>
      <c r="F7" t="str">
        <f t="shared" si="2"/>
        <v>01100000,</v>
      </c>
      <c r="G7" t="s">
        <v>21</v>
      </c>
      <c r="H7" t="str">
        <f t="shared" si="3"/>
        <v>B01100000,</v>
      </c>
      <c r="J7">
        <f t="shared" si="4"/>
        <v>96</v>
      </c>
    </row>
    <row r="8" spans="1:10" x14ac:dyDescent="0.25">
      <c r="A8" t="s">
        <v>79</v>
      </c>
      <c r="B8" s="2">
        <v>3</v>
      </c>
      <c r="C8" t="str">
        <f t="shared" si="0"/>
        <v>0011</v>
      </c>
      <c r="D8" t="str">
        <f t="shared" si="1"/>
        <v>00110011</v>
      </c>
      <c r="E8" t="s">
        <v>87</v>
      </c>
      <c r="F8" t="str">
        <f t="shared" si="2"/>
        <v>00110011,</v>
      </c>
      <c r="G8" t="s">
        <v>21</v>
      </c>
      <c r="H8" t="str">
        <f t="shared" si="3"/>
        <v>B00110011,</v>
      </c>
      <c r="J8">
        <f t="shared" si="4"/>
        <v>51</v>
      </c>
    </row>
    <row r="9" spans="1:10" x14ac:dyDescent="0.25">
      <c r="A9" t="s">
        <v>86</v>
      </c>
      <c r="C9" t="str">
        <f t="shared" si="0"/>
        <v>0000</v>
      </c>
      <c r="D9" t="str">
        <f t="shared" si="1"/>
        <v>01100000</v>
      </c>
      <c r="E9" t="s">
        <v>87</v>
      </c>
      <c r="F9" t="str">
        <f t="shared" si="2"/>
        <v>01100000,</v>
      </c>
      <c r="G9" t="s">
        <v>21</v>
      </c>
      <c r="H9" t="str">
        <f t="shared" si="3"/>
        <v>B01100000,</v>
      </c>
      <c r="J9">
        <f t="shared" si="4"/>
        <v>96</v>
      </c>
    </row>
    <row r="10" spans="1:10" x14ac:dyDescent="0.25">
      <c r="A10" t="s">
        <v>79</v>
      </c>
      <c r="B10">
        <v>4</v>
      </c>
      <c r="C10" t="str">
        <f t="shared" si="0"/>
        <v>0100</v>
      </c>
      <c r="D10" t="str">
        <f t="shared" si="1"/>
        <v>00110100</v>
      </c>
      <c r="E10" t="s">
        <v>87</v>
      </c>
      <c r="F10" t="str">
        <f>D10&amp;E10</f>
        <v>00110100,</v>
      </c>
      <c r="G10" t="s">
        <v>21</v>
      </c>
      <c r="H10" t="str">
        <f t="shared" si="3"/>
        <v>B00110100,</v>
      </c>
      <c r="J10">
        <f t="shared" si="4"/>
        <v>52</v>
      </c>
    </row>
    <row r="11" spans="1:10" x14ac:dyDescent="0.25">
      <c r="A11" t="s">
        <v>86</v>
      </c>
      <c r="C11" t="str">
        <f t="shared" si="0"/>
        <v>0000</v>
      </c>
      <c r="D11" t="str">
        <f t="shared" si="1"/>
        <v>01100000</v>
      </c>
      <c r="E11" t="s">
        <v>87</v>
      </c>
      <c r="F11" t="str">
        <f t="shared" si="2"/>
        <v>01100000,</v>
      </c>
      <c r="G11" t="s">
        <v>21</v>
      </c>
      <c r="H11" t="str">
        <f t="shared" si="3"/>
        <v>B01100000,</v>
      </c>
      <c r="J11">
        <f t="shared" si="4"/>
        <v>96</v>
      </c>
    </row>
    <row r="12" spans="1:10" x14ac:dyDescent="0.25">
      <c r="A12" t="s">
        <v>79</v>
      </c>
      <c r="B12" s="2">
        <v>5</v>
      </c>
      <c r="C12" t="str">
        <f t="shared" si="0"/>
        <v>0101</v>
      </c>
      <c r="D12" t="str">
        <f t="shared" si="1"/>
        <v>00110101</v>
      </c>
      <c r="E12" t="s">
        <v>87</v>
      </c>
      <c r="F12" t="str">
        <f t="shared" si="2"/>
        <v>00110101,</v>
      </c>
      <c r="G12" t="s">
        <v>21</v>
      </c>
      <c r="H12" t="str">
        <f t="shared" si="3"/>
        <v>B00110101,</v>
      </c>
      <c r="J12">
        <f t="shared" si="4"/>
        <v>53</v>
      </c>
    </row>
    <row r="13" spans="1:10" x14ac:dyDescent="0.25">
      <c r="A13" t="s">
        <v>86</v>
      </c>
      <c r="C13" t="str">
        <f t="shared" si="0"/>
        <v>0000</v>
      </c>
      <c r="D13" t="str">
        <f t="shared" si="1"/>
        <v>01100000</v>
      </c>
      <c r="E13" t="s">
        <v>87</v>
      </c>
      <c r="F13" t="str">
        <f t="shared" si="2"/>
        <v>01100000,</v>
      </c>
      <c r="G13" t="s">
        <v>21</v>
      </c>
      <c r="H13" t="str">
        <f t="shared" si="3"/>
        <v>B01100000,</v>
      </c>
      <c r="J13">
        <f t="shared" si="4"/>
        <v>96</v>
      </c>
    </row>
    <row r="14" spans="1:10" x14ac:dyDescent="0.25">
      <c r="A14" t="s">
        <v>79</v>
      </c>
      <c r="B14">
        <v>6</v>
      </c>
      <c r="C14" t="str">
        <f t="shared" si="0"/>
        <v>0110</v>
      </c>
      <c r="D14" t="str">
        <f t="shared" si="1"/>
        <v>00110110</v>
      </c>
      <c r="E14" t="s">
        <v>87</v>
      </c>
      <c r="F14" t="str">
        <f t="shared" si="2"/>
        <v>00110110,</v>
      </c>
      <c r="G14" t="s">
        <v>21</v>
      </c>
      <c r="H14" t="str">
        <f t="shared" si="3"/>
        <v>B00110110,</v>
      </c>
      <c r="J14">
        <f t="shared" si="4"/>
        <v>54</v>
      </c>
    </row>
    <row r="15" spans="1:10" x14ac:dyDescent="0.25">
      <c r="A15" t="s">
        <v>86</v>
      </c>
      <c r="C15" t="str">
        <f t="shared" si="0"/>
        <v>0000</v>
      </c>
      <c r="D15" t="str">
        <f t="shared" si="1"/>
        <v>01100000</v>
      </c>
      <c r="E15" t="s">
        <v>87</v>
      </c>
      <c r="F15" t="str">
        <f t="shared" si="2"/>
        <v>01100000,</v>
      </c>
      <c r="G15" t="s">
        <v>21</v>
      </c>
      <c r="H15" t="str">
        <f t="shared" si="3"/>
        <v>B01100000,</v>
      </c>
      <c r="J15">
        <f t="shared" si="4"/>
        <v>96</v>
      </c>
    </row>
    <row r="16" spans="1:10" x14ac:dyDescent="0.25">
      <c r="A16" t="s">
        <v>79</v>
      </c>
      <c r="B16" s="2">
        <v>7</v>
      </c>
      <c r="C16" t="str">
        <f t="shared" si="0"/>
        <v>0111</v>
      </c>
      <c r="D16" t="str">
        <f t="shared" si="1"/>
        <v>00110111</v>
      </c>
      <c r="E16" t="s">
        <v>87</v>
      </c>
      <c r="F16" t="str">
        <f t="shared" si="2"/>
        <v>00110111,</v>
      </c>
      <c r="G16" t="s">
        <v>21</v>
      </c>
      <c r="H16" t="str">
        <f t="shared" si="3"/>
        <v>B00110111,</v>
      </c>
      <c r="J16">
        <f t="shared" si="4"/>
        <v>55</v>
      </c>
    </row>
    <row r="17" spans="1:10" x14ac:dyDescent="0.25">
      <c r="A17" t="s">
        <v>86</v>
      </c>
      <c r="C17" t="str">
        <f t="shared" si="0"/>
        <v>0000</v>
      </c>
      <c r="D17" t="str">
        <f t="shared" si="1"/>
        <v>01100000</v>
      </c>
      <c r="E17" t="s">
        <v>87</v>
      </c>
      <c r="F17" t="str">
        <f t="shared" si="2"/>
        <v>01100000,</v>
      </c>
      <c r="G17" t="s">
        <v>21</v>
      </c>
      <c r="H17" t="str">
        <f t="shared" si="3"/>
        <v>B01100000,</v>
      </c>
      <c r="J17">
        <f t="shared" si="4"/>
        <v>96</v>
      </c>
    </row>
    <row r="18" spans="1:10" x14ac:dyDescent="0.25">
      <c r="A18" t="s">
        <v>79</v>
      </c>
      <c r="B18">
        <v>8</v>
      </c>
      <c r="C18" t="str">
        <f t="shared" si="0"/>
        <v>1000</v>
      </c>
      <c r="D18" t="str">
        <f t="shared" si="1"/>
        <v>00111000</v>
      </c>
      <c r="E18" t="s">
        <v>87</v>
      </c>
      <c r="F18" t="str">
        <f t="shared" si="2"/>
        <v>00111000,</v>
      </c>
      <c r="G18" t="s">
        <v>21</v>
      </c>
      <c r="H18" t="str">
        <f t="shared" si="3"/>
        <v>B00111000,</v>
      </c>
      <c r="J18">
        <f t="shared" si="4"/>
        <v>56</v>
      </c>
    </row>
    <row r="19" spans="1:10" x14ac:dyDescent="0.25">
      <c r="A19" t="s">
        <v>86</v>
      </c>
      <c r="C19" t="str">
        <f t="shared" si="0"/>
        <v>0000</v>
      </c>
      <c r="D19" t="str">
        <f t="shared" si="1"/>
        <v>01100000</v>
      </c>
      <c r="E19" t="s">
        <v>87</v>
      </c>
      <c r="F19" t="str">
        <f t="shared" si="2"/>
        <v>01100000,</v>
      </c>
      <c r="G19" t="s">
        <v>21</v>
      </c>
      <c r="H19" t="str">
        <f t="shared" si="3"/>
        <v>B01100000,</v>
      </c>
      <c r="J19">
        <f t="shared" si="4"/>
        <v>96</v>
      </c>
    </row>
    <row r="20" spans="1:10" x14ac:dyDescent="0.25">
      <c r="A20" t="s">
        <v>79</v>
      </c>
      <c r="B20" s="2">
        <v>9</v>
      </c>
      <c r="C20" t="str">
        <f t="shared" si="0"/>
        <v>1001</v>
      </c>
      <c r="D20" t="str">
        <f t="shared" si="1"/>
        <v>00111001</v>
      </c>
      <c r="E20" t="s">
        <v>87</v>
      </c>
      <c r="F20" t="str">
        <f t="shared" si="2"/>
        <v>00111001,</v>
      </c>
      <c r="G20" t="s">
        <v>21</v>
      </c>
      <c r="H20" t="str">
        <f t="shared" si="3"/>
        <v>B00111001,</v>
      </c>
      <c r="J20">
        <f t="shared" si="4"/>
        <v>57</v>
      </c>
    </row>
    <row r="21" spans="1:10" x14ac:dyDescent="0.25">
      <c r="A21" t="s">
        <v>86</v>
      </c>
      <c r="D21" t="str">
        <f t="shared" si="1"/>
        <v>01100000</v>
      </c>
      <c r="E21" t="s">
        <v>87</v>
      </c>
      <c r="F21" t="str">
        <f t="shared" si="2"/>
        <v>01100000,</v>
      </c>
      <c r="G21" t="s">
        <v>21</v>
      </c>
      <c r="H21" t="str">
        <f t="shared" si="3"/>
        <v>B01100000,</v>
      </c>
      <c r="J21">
        <f t="shared" si="4"/>
        <v>96</v>
      </c>
    </row>
    <row r="22" spans="1:10" x14ac:dyDescent="0.25">
      <c r="A22" t="s">
        <v>79</v>
      </c>
      <c r="B22">
        <v>10</v>
      </c>
      <c r="C22" t="str">
        <f t="shared" ref="C22:C31" si="5">DEC2BIN(B22,4)</f>
        <v>1010</v>
      </c>
      <c r="D22" t="str">
        <f t="shared" si="1"/>
        <v>00111010</v>
      </c>
      <c r="E22" t="s">
        <v>87</v>
      </c>
      <c r="F22" t="str">
        <f t="shared" si="2"/>
        <v>00111010,</v>
      </c>
      <c r="G22" t="s">
        <v>21</v>
      </c>
      <c r="H22" t="str">
        <f t="shared" si="3"/>
        <v>B00111010,</v>
      </c>
      <c r="J22">
        <f t="shared" si="4"/>
        <v>58</v>
      </c>
    </row>
    <row r="23" spans="1:10" x14ac:dyDescent="0.25">
      <c r="A23" t="s">
        <v>86</v>
      </c>
      <c r="C23" t="str">
        <f t="shared" si="5"/>
        <v>0000</v>
      </c>
      <c r="D23" t="str">
        <f t="shared" si="1"/>
        <v>01100000</v>
      </c>
      <c r="E23" t="s">
        <v>87</v>
      </c>
      <c r="F23" t="str">
        <f t="shared" si="2"/>
        <v>01100000,</v>
      </c>
      <c r="G23" t="s">
        <v>21</v>
      </c>
      <c r="H23" t="str">
        <f t="shared" si="3"/>
        <v>B01100000,</v>
      </c>
      <c r="J23" t="str">
        <f t="shared" ref="J23:J31" si="6">BIN2HEX(D23)</f>
        <v>60</v>
      </c>
    </row>
    <row r="24" spans="1:10" x14ac:dyDescent="0.25">
      <c r="A24" t="s">
        <v>79</v>
      </c>
      <c r="B24" s="2">
        <v>11</v>
      </c>
      <c r="C24" t="str">
        <f t="shared" si="5"/>
        <v>1011</v>
      </c>
      <c r="D24" t="str">
        <f t="shared" si="1"/>
        <v>00111011</v>
      </c>
      <c r="E24" t="s">
        <v>87</v>
      </c>
      <c r="F24" t="str">
        <f t="shared" si="2"/>
        <v>00111011,</v>
      </c>
      <c r="G24" t="s">
        <v>21</v>
      </c>
      <c r="H24" t="str">
        <f t="shared" si="3"/>
        <v>B00111011,</v>
      </c>
      <c r="J24" t="str">
        <f t="shared" si="6"/>
        <v>3B</v>
      </c>
    </row>
    <row r="25" spans="1:10" x14ac:dyDescent="0.25">
      <c r="A25" t="s">
        <v>86</v>
      </c>
      <c r="C25" t="str">
        <f t="shared" si="5"/>
        <v>0000</v>
      </c>
      <c r="D25" t="str">
        <f t="shared" si="1"/>
        <v>01100000</v>
      </c>
      <c r="E25" t="s">
        <v>87</v>
      </c>
      <c r="F25" t="str">
        <f t="shared" si="2"/>
        <v>01100000,</v>
      </c>
      <c r="G25" t="s">
        <v>21</v>
      </c>
      <c r="H25" t="str">
        <f t="shared" si="3"/>
        <v>B01100000,</v>
      </c>
      <c r="J25" t="str">
        <f t="shared" si="6"/>
        <v>60</v>
      </c>
    </row>
    <row r="26" spans="1:10" x14ac:dyDescent="0.25">
      <c r="A26" t="s">
        <v>79</v>
      </c>
      <c r="B26">
        <v>12</v>
      </c>
      <c r="C26" t="str">
        <f t="shared" si="5"/>
        <v>1100</v>
      </c>
      <c r="D26" t="str">
        <f t="shared" si="1"/>
        <v>00111100</v>
      </c>
      <c r="E26" t="s">
        <v>87</v>
      </c>
      <c r="F26" t="str">
        <f t="shared" si="2"/>
        <v>00111100,</v>
      </c>
      <c r="G26" t="s">
        <v>21</v>
      </c>
      <c r="H26" t="str">
        <f t="shared" si="3"/>
        <v>B00111100,</v>
      </c>
      <c r="J26" t="str">
        <f t="shared" si="6"/>
        <v>3C</v>
      </c>
    </row>
    <row r="27" spans="1:10" x14ac:dyDescent="0.25">
      <c r="A27" t="s">
        <v>86</v>
      </c>
      <c r="C27" t="str">
        <f t="shared" si="5"/>
        <v>0000</v>
      </c>
      <c r="D27" t="str">
        <f t="shared" si="1"/>
        <v>01100000</v>
      </c>
      <c r="E27" t="s">
        <v>87</v>
      </c>
      <c r="F27" t="str">
        <f t="shared" si="2"/>
        <v>01100000,</v>
      </c>
      <c r="G27" t="s">
        <v>21</v>
      </c>
      <c r="H27" t="str">
        <f t="shared" si="3"/>
        <v>B01100000,</v>
      </c>
      <c r="J27" t="str">
        <f t="shared" si="6"/>
        <v>60</v>
      </c>
    </row>
    <row r="28" spans="1:10" x14ac:dyDescent="0.25">
      <c r="A28" t="s">
        <v>79</v>
      </c>
      <c r="B28" s="2">
        <v>13</v>
      </c>
      <c r="C28" t="str">
        <f t="shared" si="5"/>
        <v>1101</v>
      </c>
      <c r="D28" t="str">
        <f t="shared" si="1"/>
        <v>00111101</v>
      </c>
      <c r="E28" t="s">
        <v>87</v>
      </c>
      <c r="F28" t="str">
        <f>D28&amp;E28</f>
        <v>00111101,</v>
      </c>
      <c r="G28" t="s">
        <v>21</v>
      </c>
      <c r="H28" t="str">
        <f t="shared" si="3"/>
        <v>B00111101,</v>
      </c>
      <c r="J28" t="str">
        <f t="shared" si="6"/>
        <v>3D</v>
      </c>
    </row>
    <row r="29" spans="1:10" x14ac:dyDescent="0.25">
      <c r="A29" t="s">
        <v>86</v>
      </c>
      <c r="C29" t="str">
        <f t="shared" si="5"/>
        <v>0000</v>
      </c>
      <c r="D29" t="str">
        <f t="shared" si="1"/>
        <v>01100000</v>
      </c>
      <c r="E29" t="s">
        <v>87</v>
      </c>
      <c r="F29" t="str">
        <f t="shared" si="2"/>
        <v>01100000,</v>
      </c>
      <c r="G29" t="s">
        <v>21</v>
      </c>
      <c r="H29" t="str">
        <f t="shared" si="3"/>
        <v>B01100000,</v>
      </c>
      <c r="J29" t="str">
        <f t="shared" si="6"/>
        <v>60</v>
      </c>
    </row>
    <row r="30" spans="1:10" x14ac:dyDescent="0.25">
      <c r="A30" t="s">
        <v>79</v>
      </c>
      <c r="B30">
        <v>14</v>
      </c>
      <c r="C30" t="str">
        <f t="shared" si="5"/>
        <v>1110</v>
      </c>
      <c r="D30" t="str">
        <f t="shared" si="1"/>
        <v>00111110</v>
      </c>
      <c r="E30" t="s">
        <v>87</v>
      </c>
      <c r="F30" t="str">
        <f t="shared" si="2"/>
        <v>00111110,</v>
      </c>
      <c r="G30" t="s">
        <v>21</v>
      </c>
      <c r="H30" t="str">
        <f t="shared" si="3"/>
        <v>B00111110,</v>
      </c>
      <c r="J30" t="str">
        <f t="shared" si="6"/>
        <v>3E</v>
      </c>
    </row>
    <row r="31" spans="1:10" x14ac:dyDescent="0.25">
      <c r="A31" t="s">
        <v>86</v>
      </c>
      <c r="C31" t="str">
        <f t="shared" si="5"/>
        <v>0000</v>
      </c>
      <c r="D31" t="str">
        <f t="shared" si="1"/>
        <v>01100000</v>
      </c>
      <c r="E31" t="s">
        <v>87</v>
      </c>
      <c r="F31" t="str">
        <f t="shared" si="2"/>
        <v>01100000,</v>
      </c>
      <c r="G31" t="s">
        <v>21</v>
      </c>
      <c r="H31" t="str">
        <f t="shared" si="3"/>
        <v>B01100000,</v>
      </c>
      <c r="J31" t="str">
        <f t="shared" si="6"/>
        <v>60</v>
      </c>
    </row>
    <row r="32" spans="1:10" x14ac:dyDescent="0.25">
      <c r="B32" s="2"/>
      <c r="D32" t="str">
        <f t="shared" si="1"/>
        <v/>
      </c>
      <c r="H32" t="str">
        <f t="shared" si="3"/>
        <v/>
      </c>
    </row>
    <row r="33" spans="1:11" x14ac:dyDescent="0.25">
      <c r="A33" t="s">
        <v>106</v>
      </c>
    </row>
    <row r="34" spans="1:11" x14ac:dyDescent="0.25">
      <c r="A34" s="43" t="s">
        <v>79</v>
      </c>
      <c r="B34" s="43"/>
      <c r="C34" s="43" t="s">
        <v>100</v>
      </c>
      <c r="D34" t="str">
        <f t="shared" ref="D34:D36" si="7">Compile(A34,C34)</f>
        <v>00110000</v>
      </c>
      <c r="E34" t="s">
        <v>87</v>
      </c>
      <c r="F34" t="str">
        <f t="shared" ref="F34:F36" si="8">D34&amp;E34</f>
        <v>00110000,</v>
      </c>
      <c r="G34" t="s">
        <v>21</v>
      </c>
      <c r="H34" t="str">
        <f>G34&amp;F34&amp;" //"&amp;A34</f>
        <v>B00110000, //LDa_C</v>
      </c>
      <c r="J34" t="str">
        <f t="shared" ref="J34:J36" si="9">BIN2HEX(D34)</f>
        <v>30</v>
      </c>
      <c r="K34">
        <f>HEX2DEC(J34)</f>
        <v>48</v>
      </c>
    </row>
    <row r="35" spans="1:11" x14ac:dyDescent="0.25">
      <c r="A35" s="43" t="s">
        <v>79</v>
      </c>
      <c r="B35" s="43"/>
      <c r="C35" s="43" t="s">
        <v>100</v>
      </c>
      <c r="D35" t="str">
        <f t="shared" si="7"/>
        <v>00110000</v>
      </c>
      <c r="E35" t="s">
        <v>87</v>
      </c>
      <c r="F35" t="str">
        <f t="shared" si="8"/>
        <v>00110000,</v>
      </c>
      <c r="G35" t="s">
        <v>21</v>
      </c>
      <c r="H35" t="str">
        <f>G35&amp;F35&amp;" //"&amp;A35</f>
        <v>B00110000, //LDa_C</v>
      </c>
      <c r="J35" t="str">
        <f t="shared" si="9"/>
        <v>30</v>
      </c>
      <c r="K35">
        <f t="shared" ref="K35:K53" si="10">HEX2DEC(J35)</f>
        <v>48</v>
      </c>
    </row>
    <row r="36" spans="1:11" x14ac:dyDescent="0.25">
      <c r="A36" s="43" t="s">
        <v>79</v>
      </c>
      <c r="B36" s="43"/>
      <c r="C36" s="43" t="s">
        <v>100</v>
      </c>
      <c r="D36" t="str">
        <f t="shared" si="7"/>
        <v>00110000</v>
      </c>
      <c r="E36" t="s">
        <v>87</v>
      </c>
      <c r="F36" t="str">
        <f t="shared" si="8"/>
        <v>00110000,</v>
      </c>
      <c r="G36" t="s">
        <v>21</v>
      </c>
      <c r="H36" t="str">
        <f>G36&amp;F36&amp;" //"&amp;A36</f>
        <v>B00110000, //LDa_C</v>
      </c>
      <c r="J36" t="str">
        <f t="shared" si="9"/>
        <v>30</v>
      </c>
      <c r="K36">
        <f t="shared" si="10"/>
        <v>48</v>
      </c>
    </row>
    <row r="37" spans="1:11" x14ac:dyDescent="0.25">
      <c r="A37" s="43" t="s">
        <v>79</v>
      </c>
      <c r="B37" s="43"/>
      <c r="C37" s="43" t="s">
        <v>101</v>
      </c>
      <c r="D37" t="str">
        <f t="shared" ref="D37:D53" si="11">Compile(A37,C37)</f>
        <v>00110110</v>
      </c>
      <c r="E37" t="s">
        <v>87</v>
      </c>
      <c r="F37" t="str">
        <f t="shared" ref="F37:F43" si="12">D37&amp;E37</f>
        <v>00110110,</v>
      </c>
      <c r="G37" t="s">
        <v>21</v>
      </c>
      <c r="H37" t="str">
        <f>G37&amp;F37&amp;" //"&amp;A37</f>
        <v>B00110110, //LDa_C</v>
      </c>
      <c r="J37" t="str">
        <f t="shared" ref="J37:J53" si="13">BIN2HEX(D37)</f>
        <v>36</v>
      </c>
      <c r="K37">
        <f t="shared" si="10"/>
        <v>54</v>
      </c>
    </row>
    <row r="38" spans="1:11" x14ac:dyDescent="0.25">
      <c r="A38" s="43" t="s">
        <v>84</v>
      </c>
      <c r="B38" s="43"/>
      <c r="C38" s="43" t="s">
        <v>97</v>
      </c>
      <c r="D38" t="str">
        <f t="shared" si="11"/>
        <v>10000001</v>
      </c>
      <c r="E38" t="s">
        <v>87</v>
      </c>
      <c r="F38" t="str">
        <f t="shared" si="12"/>
        <v>10000001,</v>
      </c>
      <c r="G38" t="s">
        <v>21</v>
      </c>
      <c r="H38" t="str">
        <f t="shared" ref="H38:H53" si="14">G38&amp;F38&amp;" //"&amp;A38</f>
        <v>B10000001, //STa_P</v>
      </c>
      <c r="J38" t="str">
        <f t="shared" si="13"/>
        <v>81</v>
      </c>
      <c r="K38">
        <f t="shared" si="10"/>
        <v>129</v>
      </c>
    </row>
    <row r="39" spans="1:11" x14ac:dyDescent="0.25">
      <c r="A39" s="43" t="s">
        <v>80</v>
      </c>
      <c r="B39" s="43"/>
      <c r="C39" s="43" t="s">
        <v>97</v>
      </c>
      <c r="D39" t="str">
        <f t="shared" si="11"/>
        <v>11000001</v>
      </c>
      <c r="E39" t="s">
        <v>87</v>
      </c>
      <c r="F39" t="str">
        <f t="shared" si="12"/>
        <v>11000001,</v>
      </c>
      <c r="G39" t="s">
        <v>21</v>
      </c>
      <c r="H39" t="str">
        <f t="shared" si="14"/>
        <v>B11000001, //LDb_P</v>
      </c>
      <c r="J39" t="str">
        <f t="shared" si="13"/>
        <v>C1</v>
      </c>
      <c r="K39">
        <f t="shared" si="10"/>
        <v>193</v>
      </c>
    </row>
    <row r="40" spans="1:11" x14ac:dyDescent="0.25">
      <c r="A40" s="43" t="s">
        <v>86</v>
      </c>
      <c r="B40" s="43"/>
      <c r="C40" s="43" t="s">
        <v>100</v>
      </c>
      <c r="D40" t="str">
        <f t="shared" si="11"/>
        <v>01100000</v>
      </c>
      <c r="E40" t="s">
        <v>87</v>
      </c>
      <c r="F40" t="str">
        <f t="shared" si="12"/>
        <v>01100000,</v>
      </c>
      <c r="G40" t="s">
        <v>21</v>
      </c>
      <c r="H40" t="str">
        <f t="shared" si="14"/>
        <v>B01100000, //OUTA</v>
      </c>
      <c r="J40" t="str">
        <f t="shared" si="13"/>
        <v>60</v>
      </c>
      <c r="K40">
        <f t="shared" si="10"/>
        <v>96</v>
      </c>
    </row>
    <row r="41" spans="1:11" x14ac:dyDescent="0.25">
      <c r="A41" s="43" t="s">
        <v>79</v>
      </c>
      <c r="B41" s="43"/>
      <c r="C41" s="43" t="s">
        <v>101</v>
      </c>
      <c r="D41" t="str">
        <f t="shared" ref="D41" si="15">Compile(A41,C41)</f>
        <v>00110110</v>
      </c>
      <c r="E41" t="s">
        <v>87</v>
      </c>
      <c r="F41" t="str">
        <f t="shared" ref="F41" si="16">D41&amp;E41</f>
        <v>00110110,</v>
      </c>
      <c r="G41" t="s">
        <v>21</v>
      </c>
      <c r="H41" t="str">
        <f t="shared" ref="H41" si="17">G41&amp;F41&amp;" //"&amp;A41</f>
        <v>B00110110, //LDa_C</v>
      </c>
      <c r="J41" t="str">
        <f t="shared" ref="J41" si="18">BIN2HEX(D41)</f>
        <v>36</v>
      </c>
      <c r="K41">
        <f t="shared" si="10"/>
        <v>54</v>
      </c>
    </row>
    <row r="42" spans="1:11" x14ac:dyDescent="0.25">
      <c r="A42" s="43" t="s">
        <v>79</v>
      </c>
      <c r="B42" s="43"/>
      <c r="C42" s="43" t="s">
        <v>101</v>
      </c>
      <c r="D42" t="str">
        <f t="shared" si="11"/>
        <v>00110110</v>
      </c>
      <c r="E42" t="s">
        <v>87</v>
      </c>
      <c r="F42" t="str">
        <f t="shared" si="12"/>
        <v>00110110,</v>
      </c>
      <c r="G42" t="s">
        <v>21</v>
      </c>
      <c r="H42" t="str">
        <f t="shared" si="14"/>
        <v>B00110110, //LDa_C</v>
      </c>
      <c r="J42" t="str">
        <f t="shared" si="13"/>
        <v>36</v>
      </c>
      <c r="K42">
        <f t="shared" si="10"/>
        <v>54</v>
      </c>
    </row>
    <row r="43" spans="1:11" x14ac:dyDescent="0.25">
      <c r="A43" s="43" t="s">
        <v>84</v>
      </c>
      <c r="B43" s="43"/>
      <c r="C43" s="43" t="s">
        <v>97</v>
      </c>
      <c r="D43" t="str">
        <f t="shared" si="11"/>
        <v>10000001</v>
      </c>
      <c r="E43" t="s">
        <v>87</v>
      </c>
      <c r="F43" t="str">
        <f t="shared" si="12"/>
        <v>10000001,</v>
      </c>
      <c r="G43" t="s">
        <v>21</v>
      </c>
      <c r="H43" t="str">
        <f t="shared" si="14"/>
        <v>B10000001, //STa_P</v>
      </c>
      <c r="J43" t="str">
        <f t="shared" si="13"/>
        <v>81</v>
      </c>
      <c r="K43">
        <f t="shared" si="10"/>
        <v>129</v>
      </c>
    </row>
    <row r="44" spans="1:11" x14ac:dyDescent="0.25">
      <c r="A44" s="43" t="s">
        <v>80</v>
      </c>
      <c r="B44" s="43"/>
      <c r="C44" s="43" t="s">
        <v>97</v>
      </c>
      <c r="D44" t="str">
        <f t="shared" si="11"/>
        <v>11000001</v>
      </c>
      <c r="E44" t="s">
        <v>87</v>
      </c>
      <c r="F44" t="str">
        <f t="shared" ref="F44:F53" si="19">D44&amp;E44</f>
        <v>11000001,</v>
      </c>
      <c r="G44" t="s">
        <v>21</v>
      </c>
      <c r="H44" t="str">
        <f t="shared" si="14"/>
        <v>B11000001, //LDb_P</v>
      </c>
      <c r="J44" t="str">
        <f t="shared" si="13"/>
        <v>C1</v>
      </c>
      <c r="K44">
        <f t="shared" si="10"/>
        <v>193</v>
      </c>
    </row>
    <row r="45" spans="1:11" x14ac:dyDescent="0.25">
      <c r="A45" s="43" t="s">
        <v>86</v>
      </c>
      <c r="B45" s="43"/>
      <c r="C45" s="43" t="s">
        <v>100</v>
      </c>
      <c r="D45" t="str">
        <f t="shared" si="11"/>
        <v>01100000</v>
      </c>
      <c r="E45" t="s">
        <v>87</v>
      </c>
      <c r="F45" t="str">
        <f t="shared" si="19"/>
        <v>01100000,</v>
      </c>
      <c r="G45" t="s">
        <v>21</v>
      </c>
      <c r="H45" t="str">
        <f t="shared" si="14"/>
        <v>B01100000, //OUTA</v>
      </c>
      <c r="J45" t="str">
        <f t="shared" si="13"/>
        <v>60</v>
      </c>
      <c r="K45">
        <f t="shared" si="10"/>
        <v>96</v>
      </c>
    </row>
    <row r="46" spans="1:11" x14ac:dyDescent="0.25">
      <c r="A46" s="43" t="s">
        <v>79</v>
      </c>
      <c r="B46" s="43"/>
      <c r="C46" s="43" t="s">
        <v>102</v>
      </c>
      <c r="D46" t="str">
        <f t="shared" si="11"/>
        <v>00110011</v>
      </c>
      <c r="E46" t="s">
        <v>87</v>
      </c>
      <c r="F46" t="str">
        <f t="shared" si="19"/>
        <v>00110011,</v>
      </c>
      <c r="G46" t="s">
        <v>21</v>
      </c>
      <c r="H46" t="str">
        <f t="shared" si="14"/>
        <v>B00110011, //LDa_C</v>
      </c>
      <c r="J46" t="str">
        <f t="shared" si="13"/>
        <v>33</v>
      </c>
      <c r="K46">
        <f t="shared" si="10"/>
        <v>51</v>
      </c>
    </row>
    <row r="47" spans="1:11" x14ac:dyDescent="0.25">
      <c r="A47" s="43" t="s">
        <v>84</v>
      </c>
      <c r="B47" s="43"/>
      <c r="C47" s="43" t="s">
        <v>97</v>
      </c>
      <c r="D47" t="str">
        <f t="shared" si="11"/>
        <v>10000001</v>
      </c>
      <c r="E47" t="s">
        <v>87</v>
      </c>
      <c r="F47" t="str">
        <f t="shared" si="19"/>
        <v>10000001,</v>
      </c>
      <c r="G47" t="s">
        <v>21</v>
      </c>
      <c r="H47" t="str">
        <f t="shared" si="14"/>
        <v>B10000001, //STa_P</v>
      </c>
      <c r="J47" t="str">
        <f t="shared" si="13"/>
        <v>81</v>
      </c>
      <c r="K47">
        <f t="shared" si="10"/>
        <v>129</v>
      </c>
    </row>
    <row r="48" spans="1:11" x14ac:dyDescent="0.25">
      <c r="A48" s="43" t="s">
        <v>80</v>
      </c>
      <c r="B48" s="43"/>
      <c r="C48" s="43" t="s">
        <v>97</v>
      </c>
      <c r="D48" t="str">
        <f t="shared" si="11"/>
        <v>11000001</v>
      </c>
      <c r="E48" t="s">
        <v>87</v>
      </c>
      <c r="F48" t="str">
        <f t="shared" si="19"/>
        <v>11000001,</v>
      </c>
      <c r="G48" t="s">
        <v>21</v>
      </c>
      <c r="H48" t="str">
        <f t="shared" si="14"/>
        <v>B11000001, //LDb_P</v>
      </c>
      <c r="J48" t="str">
        <f t="shared" si="13"/>
        <v>C1</v>
      </c>
      <c r="K48">
        <f t="shared" si="10"/>
        <v>193</v>
      </c>
    </row>
    <row r="49" spans="1:11" x14ac:dyDescent="0.25">
      <c r="A49" s="43" t="s">
        <v>86</v>
      </c>
      <c r="B49" s="43"/>
      <c r="C49" s="43" t="s">
        <v>100</v>
      </c>
      <c r="D49" t="str">
        <f t="shared" si="11"/>
        <v>01100000</v>
      </c>
      <c r="E49" t="s">
        <v>87</v>
      </c>
      <c r="F49" t="str">
        <f t="shared" si="19"/>
        <v>01100000,</v>
      </c>
      <c r="G49" t="s">
        <v>21</v>
      </c>
      <c r="H49" t="str">
        <f t="shared" si="14"/>
        <v>B01100000, //OUTA</v>
      </c>
      <c r="J49" t="str">
        <f t="shared" si="13"/>
        <v>60</v>
      </c>
      <c r="K49">
        <f t="shared" si="10"/>
        <v>96</v>
      </c>
    </row>
    <row r="50" spans="1:11" x14ac:dyDescent="0.25">
      <c r="A50" s="43" t="s">
        <v>79</v>
      </c>
      <c r="B50" s="43"/>
      <c r="C50" s="43" t="s">
        <v>98</v>
      </c>
      <c r="D50" t="str">
        <f t="shared" si="11"/>
        <v>00110101</v>
      </c>
      <c r="E50" t="s">
        <v>87</v>
      </c>
      <c r="F50" t="str">
        <f t="shared" si="19"/>
        <v>00110101,</v>
      </c>
      <c r="G50" t="s">
        <v>21</v>
      </c>
      <c r="H50" t="str">
        <f t="shared" si="14"/>
        <v>B00110101, //LDa_C</v>
      </c>
      <c r="J50" t="str">
        <f t="shared" si="13"/>
        <v>35</v>
      </c>
      <c r="K50">
        <f t="shared" si="10"/>
        <v>53</v>
      </c>
    </row>
    <row r="51" spans="1:11" x14ac:dyDescent="0.25">
      <c r="A51" s="43" t="s">
        <v>84</v>
      </c>
      <c r="B51" s="43"/>
      <c r="C51" s="43" t="s">
        <v>97</v>
      </c>
      <c r="D51" t="str">
        <f t="shared" si="11"/>
        <v>10000001</v>
      </c>
      <c r="E51" t="s">
        <v>87</v>
      </c>
      <c r="F51" t="str">
        <f t="shared" si="19"/>
        <v>10000001,</v>
      </c>
      <c r="G51" t="s">
        <v>21</v>
      </c>
      <c r="H51" t="str">
        <f t="shared" si="14"/>
        <v>B10000001, //STa_P</v>
      </c>
      <c r="J51" t="str">
        <f t="shared" si="13"/>
        <v>81</v>
      </c>
      <c r="K51">
        <f t="shared" si="10"/>
        <v>129</v>
      </c>
    </row>
    <row r="52" spans="1:11" x14ac:dyDescent="0.25">
      <c r="A52" s="43" t="s">
        <v>99</v>
      </c>
      <c r="B52" s="43"/>
      <c r="C52" s="43" t="s">
        <v>97</v>
      </c>
      <c r="D52" t="str">
        <f t="shared" si="11"/>
        <v>10100001</v>
      </c>
      <c r="E52" t="s">
        <v>87</v>
      </c>
      <c r="F52" t="str">
        <f t="shared" si="19"/>
        <v>10100001,</v>
      </c>
      <c r="G52" t="s">
        <v>21</v>
      </c>
      <c r="H52" t="str">
        <f t="shared" si="14"/>
        <v>B10100001, //LDa_P</v>
      </c>
      <c r="J52" t="str">
        <f t="shared" si="13"/>
        <v>A1</v>
      </c>
      <c r="K52">
        <f t="shared" si="10"/>
        <v>161</v>
      </c>
    </row>
    <row r="53" spans="1:11" x14ac:dyDescent="0.25">
      <c r="A53" s="43" t="s">
        <v>86</v>
      </c>
      <c r="B53" s="43"/>
      <c r="C53" s="43" t="s">
        <v>100</v>
      </c>
      <c r="D53" t="str">
        <f t="shared" si="11"/>
        <v>01100000</v>
      </c>
      <c r="E53" t="s">
        <v>87</v>
      </c>
      <c r="F53" t="str">
        <f t="shared" si="19"/>
        <v>01100000,</v>
      </c>
      <c r="G53" t="s">
        <v>21</v>
      </c>
      <c r="H53" t="str">
        <f t="shared" si="14"/>
        <v>B01100000, //OUTA</v>
      </c>
      <c r="J53" t="str">
        <f t="shared" si="13"/>
        <v>60</v>
      </c>
      <c r="K53">
        <f t="shared" si="10"/>
        <v>96</v>
      </c>
    </row>
    <row r="54" spans="1:11" x14ac:dyDescent="0.25">
      <c r="A54" s="43"/>
      <c r="B54" s="43"/>
      <c r="C54" s="43"/>
    </row>
    <row r="55" spans="1:11" x14ac:dyDescent="0.25">
      <c r="A55" s="43"/>
      <c r="B55" s="43"/>
      <c r="C55" s="43"/>
    </row>
    <row r="56" spans="1:11" x14ac:dyDescent="0.25">
      <c r="A56" s="43"/>
      <c r="B56" s="43"/>
      <c r="C56" s="43"/>
    </row>
    <row r="57" spans="1:11" x14ac:dyDescent="0.25">
      <c r="A57" s="43" t="s">
        <v>107</v>
      </c>
      <c r="B57" s="43"/>
      <c r="C57" s="43"/>
    </row>
    <row r="58" spans="1:11" x14ac:dyDescent="0.25">
      <c r="A58" s="43" t="s">
        <v>79</v>
      </c>
      <c r="B58" s="43"/>
      <c r="C58" s="43" t="s">
        <v>100</v>
      </c>
      <c r="D58" t="str">
        <f t="shared" ref="D58:D76" si="20">Compile(A58,C58)</f>
        <v>00110000</v>
      </c>
      <c r="E58" t="s">
        <v>87</v>
      </c>
      <c r="F58" t="str">
        <f t="shared" ref="F58:F76" si="21">D58&amp;E58</f>
        <v>00110000,</v>
      </c>
      <c r="G58" t="s">
        <v>21</v>
      </c>
      <c r="H58" t="str">
        <f>G58&amp;F58&amp;" //"&amp;A58</f>
        <v>B00110000, //LDa_C</v>
      </c>
      <c r="J58" t="str">
        <f t="shared" ref="J58:J76" si="22">BIN2HEX(D58)</f>
        <v>30</v>
      </c>
      <c r="K58">
        <f>HEX2DEC(J58)</f>
        <v>48</v>
      </c>
    </row>
    <row r="59" spans="1:11" x14ac:dyDescent="0.25">
      <c r="A59" s="43" t="s">
        <v>79</v>
      </c>
      <c r="B59" s="43"/>
      <c r="C59" s="43" t="s">
        <v>100</v>
      </c>
      <c r="D59" t="str">
        <f t="shared" si="20"/>
        <v>00110000</v>
      </c>
      <c r="E59" t="s">
        <v>87</v>
      </c>
      <c r="F59" t="str">
        <f t="shared" si="21"/>
        <v>00110000,</v>
      </c>
      <c r="G59" t="s">
        <v>21</v>
      </c>
      <c r="H59" t="str">
        <f>G59&amp;F59&amp;" //"&amp;A59</f>
        <v>B00110000, //LDa_C</v>
      </c>
      <c r="J59" t="str">
        <f t="shared" si="22"/>
        <v>30</v>
      </c>
      <c r="K59">
        <f t="shared" ref="K59:K76" si="23">HEX2DEC(J59)</f>
        <v>48</v>
      </c>
    </row>
    <row r="60" spans="1:11" x14ac:dyDescent="0.25">
      <c r="A60" s="43" t="s">
        <v>79</v>
      </c>
      <c r="B60" s="43"/>
      <c r="C60" s="43" t="s">
        <v>100</v>
      </c>
      <c r="D60" t="str">
        <f t="shared" si="20"/>
        <v>00110000</v>
      </c>
      <c r="E60" t="s">
        <v>87</v>
      </c>
      <c r="F60" t="str">
        <f t="shared" si="21"/>
        <v>00110000,</v>
      </c>
      <c r="G60" t="s">
        <v>21</v>
      </c>
      <c r="H60" t="str">
        <f>G60&amp;F60&amp;" //"&amp;A60</f>
        <v>B00110000, //LDa_C</v>
      </c>
      <c r="J60" t="str">
        <f t="shared" si="22"/>
        <v>30</v>
      </c>
      <c r="K60">
        <f t="shared" si="23"/>
        <v>48</v>
      </c>
    </row>
    <row r="61" spans="1:11" x14ac:dyDescent="0.25">
      <c r="A61" s="43" t="s">
        <v>79</v>
      </c>
      <c r="B61" s="43"/>
      <c r="C61" s="43" t="s">
        <v>101</v>
      </c>
      <c r="D61" t="str">
        <f t="shared" si="20"/>
        <v>00110110</v>
      </c>
      <c r="E61" t="s">
        <v>87</v>
      </c>
      <c r="F61" t="str">
        <f t="shared" si="21"/>
        <v>00110110,</v>
      </c>
      <c r="G61" t="s">
        <v>21</v>
      </c>
      <c r="H61" t="str">
        <f>G61&amp;F61&amp;" //"&amp;A61</f>
        <v>B00110110, //LDa_C</v>
      </c>
      <c r="J61" t="str">
        <f t="shared" si="22"/>
        <v>36</v>
      </c>
      <c r="K61">
        <f t="shared" si="23"/>
        <v>54</v>
      </c>
    </row>
    <row r="62" spans="1:11" x14ac:dyDescent="0.25">
      <c r="A62" s="43" t="s">
        <v>84</v>
      </c>
      <c r="B62" s="43"/>
      <c r="C62" s="43" t="s">
        <v>97</v>
      </c>
      <c r="D62" t="str">
        <f t="shared" si="20"/>
        <v>10000001</v>
      </c>
      <c r="E62" t="s">
        <v>87</v>
      </c>
      <c r="F62" t="str">
        <f t="shared" si="21"/>
        <v>10000001,</v>
      </c>
      <c r="G62" t="s">
        <v>21</v>
      </c>
      <c r="H62" t="str">
        <f t="shared" ref="H62:H76" si="24">G62&amp;F62&amp;" //"&amp;A62</f>
        <v>B10000001, //STa_P</v>
      </c>
      <c r="J62" t="str">
        <f t="shared" si="22"/>
        <v>81</v>
      </c>
      <c r="K62">
        <f t="shared" si="23"/>
        <v>129</v>
      </c>
    </row>
    <row r="63" spans="1:11" x14ac:dyDescent="0.25">
      <c r="A63" s="43" t="s">
        <v>99</v>
      </c>
      <c r="B63" s="43"/>
      <c r="C63" s="43" t="s">
        <v>97</v>
      </c>
      <c r="D63" t="str">
        <f t="shared" si="20"/>
        <v>10100001</v>
      </c>
      <c r="E63" t="s">
        <v>87</v>
      </c>
      <c r="F63" t="str">
        <f t="shared" si="21"/>
        <v>10100001,</v>
      </c>
      <c r="G63" t="s">
        <v>21</v>
      </c>
      <c r="H63" t="str">
        <f t="shared" si="24"/>
        <v>B10100001, //LDa_P</v>
      </c>
      <c r="J63" t="str">
        <f t="shared" si="22"/>
        <v>A1</v>
      </c>
      <c r="K63">
        <f t="shared" si="23"/>
        <v>161</v>
      </c>
    </row>
    <row r="64" spans="1:11" x14ac:dyDescent="0.25">
      <c r="A64" s="43" t="s">
        <v>86</v>
      </c>
      <c r="B64" s="43"/>
      <c r="C64" s="43" t="s">
        <v>100</v>
      </c>
      <c r="D64" t="str">
        <f t="shared" si="20"/>
        <v>01100000</v>
      </c>
      <c r="E64" t="s">
        <v>87</v>
      </c>
      <c r="F64" t="str">
        <f t="shared" si="21"/>
        <v>01100000,</v>
      </c>
      <c r="G64" t="s">
        <v>21</v>
      </c>
      <c r="H64" t="str">
        <f t="shared" si="24"/>
        <v>B01100000, //OUTA</v>
      </c>
      <c r="J64" t="str">
        <f t="shared" si="22"/>
        <v>60</v>
      </c>
      <c r="K64">
        <f t="shared" si="23"/>
        <v>96</v>
      </c>
    </row>
    <row r="65" spans="1:12" x14ac:dyDescent="0.25">
      <c r="A65" s="43" t="s">
        <v>79</v>
      </c>
      <c r="B65" s="43"/>
      <c r="C65" s="43" t="s">
        <v>101</v>
      </c>
      <c r="D65" t="str">
        <f t="shared" si="20"/>
        <v>00110110</v>
      </c>
      <c r="E65" t="s">
        <v>87</v>
      </c>
      <c r="F65" t="str">
        <f t="shared" si="21"/>
        <v>00110110,</v>
      </c>
      <c r="G65" t="s">
        <v>21</v>
      </c>
      <c r="H65" t="str">
        <f t="shared" si="24"/>
        <v>B00110110, //LDa_C</v>
      </c>
      <c r="J65" t="str">
        <f t="shared" si="22"/>
        <v>36</v>
      </c>
      <c r="K65">
        <f t="shared" si="23"/>
        <v>54</v>
      </c>
    </row>
    <row r="66" spans="1:12" x14ac:dyDescent="0.25">
      <c r="A66" s="43" t="s">
        <v>84</v>
      </c>
      <c r="B66" s="43"/>
      <c r="C66" s="43" t="s">
        <v>97</v>
      </c>
      <c r="D66" t="str">
        <f t="shared" si="20"/>
        <v>10000001</v>
      </c>
      <c r="E66" t="s">
        <v>87</v>
      </c>
      <c r="F66" t="str">
        <f t="shared" si="21"/>
        <v>10000001,</v>
      </c>
      <c r="G66" t="s">
        <v>21</v>
      </c>
      <c r="H66" t="str">
        <f t="shared" si="24"/>
        <v>B10000001, //STa_P</v>
      </c>
      <c r="J66" t="str">
        <f t="shared" si="22"/>
        <v>81</v>
      </c>
      <c r="K66">
        <f t="shared" si="23"/>
        <v>129</v>
      </c>
    </row>
    <row r="67" spans="1:12" x14ac:dyDescent="0.25">
      <c r="A67" s="43" t="s">
        <v>99</v>
      </c>
      <c r="B67" s="43"/>
      <c r="C67" s="43" t="s">
        <v>97</v>
      </c>
      <c r="D67" t="str">
        <f t="shared" si="20"/>
        <v>10100001</v>
      </c>
      <c r="E67" t="s">
        <v>87</v>
      </c>
      <c r="F67" t="str">
        <f t="shared" si="21"/>
        <v>10100001,</v>
      </c>
      <c r="G67" t="s">
        <v>21</v>
      </c>
      <c r="H67" t="str">
        <f t="shared" si="24"/>
        <v>B10100001, //LDa_P</v>
      </c>
      <c r="J67" t="str">
        <f t="shared" si="22"/>
        <v>A1</v>
      </c>
      <c r="K67">
        <f t="shared" si="23"/>
        <v>161</v>
      </c>
    </row>
    <row r="68" spans="1:12" x14ac:dyDescent="0.25">
      <c r="A68" s="43" t="s">
        <v>86</v>
      </c>
      <c r="B68" s="43"/>
      <c r="C68" s="43" t="s">
        <v>100</v>
      </c>
      <c r="D68" t="str">
        <f t="shared" si="20"/>
        <v>01100000</v>
      </c>
      <c r="E68" t="s">
        <v>87</v>
      </c>
      <c r="F68" t="str">
        <f t="shared" si="21"/>
        <v>01100000,</v>
      </c>
      <c r="G68" t="s">
        <v>21</v>
      </c>
      <c r="H68" t="str">
        <f t="shared" si="24"/>
        <v>B01100000, //OUTA</v>
      </c>
      <c r="J68" t="str">
        <f t="shared" si="22"/>
        <v>60</v>
      </c>
      <c r="K68">
        <f t="shared" si="23"/>
        <v>96</v>
      </c>
    </row>
    <row r="69" spans="1:12" x14ac:dyDescent="0.25">
      <c r="A69" s="43" t="s">
        <v>79</v>
      </c>
      <c r="B69" s="43"/>
      <c r="C69" s="43" t="s">
        <v>102</v>
      </c>
      <c r="D69" t="str">
        <f t="shared" si="20"/>
        <v>00110011</v>
      </c>
      <c r="E69" t="s">
        <v>87</v>
      </c>
      <c r="F69" t="str">
        <f t="shared" si="21"/>
        <v>00110011,</v>
      </c>
      <c r="G69" t="s">
        <v>21</v>
      </c>
      <c r="H69" t="str">
        <f t="shared" si="24"/>
        <v>B00110011, //LDa_C</v>
      </c>
      <c r="J69" t="str">
        <f t="shared" si="22"/>
        <v>33</v>
      </c>
      <c r="K69">
        <f t="shared" si="23"/>
        <v>51</v>
      </c>
    </row>
    <row r="70" spans="1:12" x14ac:dyDescent="0.25">
      <c r="A70" s="43" t="s">
        <v>84</v>
      </c>
      <c r="B70" s="43"/>
      <c r="C70" s="43" t="s">
        <v>97</v>
      </c>
      <c r="D70" t="str">
        <f t="shared" si="20"/>
        <v>10000001</v>
      </c>
      <c r="E70" t="s">
        <v>87</v>
      </c>
      <c r="F70" t="str">
        <f t="shared" si="21"/>
        <v>10000001,</v>
      </c>
      <c r="G70" t="s">
        <v>21</v>
      </c>
      <c r="H70" t="str">
        <f t="shared" si="24"/>
        <v>B10000001, //STa_P</v>
      </c>
      <c r="J70" t="str">
        <f t="shared" si="22"/>
        <v>81</v>
      </c>
      <c r="K70">
        <f t="shared" si="23"/>
        <v>129</v>
      </c>
    </row>
    <row r="71" spans="1:12" x14ac:dyDescent="0.25">
      <c r="A71" s="43" t="s">
        <v>99</v>
      </c>
      <c r="B71" s="43"/>
      <c r="C71" s="43" t="s">
        <v>97</v>
      </c>
      <c r="D71" t="str">
        <f t="shared" si="20"/>
        <v>10100001</v>
      </c>
      <c r="E71" t="s">
        <v>87</v>
      </c>
      <c r="F71" t="str">
        <f t="shared" si="21"/>
        <v>10100001,</v>
      </c>
      <c r="G71" t="s">
        <v>21</v>
      </c>
      <c r="H71" t="str">
        <f t="shared" si="24"/>
        <v>B10100001, //LDa_P</v>
      </c>
      <c r="J71" t="str">
        <f t="shared" si="22"/>
        <v>A1</v>
      </c>
      <c r="K71">
        <f t="shared" si="23"/>
        <v>161</v>
      </c>
    </row>
    <row r="72" spans="1:12" x14ac:dyDescent="0.25">
      <c r="A72" s="43" t="s">
        <v>86</v>
      </c>
      <c r="B72" s="43"/>
      <c r="C72" s="43" t="s">
        <v>100</v>
      </c>
      <c r="D72" t="str">
        <f t="shared" si="20"/>
        <v>01100000</v>
      </c>
      <c r="E72" t="s">
        <v>87</v>
      </c>
      <c r="F72" t="str">
        <f t="shared" si="21"/>
        <v>01100000,</v>
      </c>
      <c r="G72" t="s">
        <v>21</v>
      </c>
      <c r="H72" t="str">
        <f t="shared" si="24"/>
        <v>B01100000, //OUTA</v>
      </c>
      <c r="J72" t="str">
        <f t="shared" si="22"/>
        <v>60</v>
      </c>
      <c r="K72">
        <f t="shared" si="23"/>
        <v>96</v>
      </c>
    </row>
    <row r="73" spans="1:12" x14ac:dyDescent="0.25">
      <c r="A73" s="43" t="s">
        <v>79</v>
      </c>
      <c r="B73" s="43"/>
      <c r="C73" s="43" t="s">
        <v>98</v>
      </c>
      <c r="D73" t="str">
        <f t="shared" si="20"/>
        <v>00110101</v>
      </c>
      <c r="E73" t="s">
        <v>87</v>
      </c>
      <c r="F73" t="str">
        <f t="shared" si="21"/>
        <v>00110101,</v>
      </c>
      <c r="G73" t="s">
        <v>21</v>
      </c>
      <c r="H73" t="str">
        <f t="shared" si="24"/>
        <v>B00110101, //LDa_C</v>
      </c>
      <c r="J73" t="str">
        <f t="shared" si="22"/>
        <v>35</v>
      </c>
      <c r="K73">
        <f t="shared" si="23"/>
        <v>53</v>
      </c>
    </row>
    <row r="74" spans="1:12" x14ac:dyDescent="0.25">
      <c r="A74" s="43" t="s">
        <v>84</v>
      </c>
      <c r="B74" s="43"/>
      <c r="C74" s="43" t="s">
        <v>97</v>
      </c>
      <c r="D74" t="str">
        <f t="shared" si="20"/>
        <v>10000001</v>
      </c>
      <c r="E74" t="s">
        <v>87</v>
      </c>
      <c r="F74" t="str">
        <f t="shared" si="21"/>
        <v>10000001,</v>
      </c>
      <c r="G74" t="s">
        <v>21</v>
      </c>
      <c r="H74" t="str">
        <f t="shared" si="24"/>
        <v>B10000001, //STa_P</v>
      </c>
      <c r="J74" t="str">
        <f t="shared" si="22"/>
        <v>81</v>
      </c>
      <c r="K74">
        <f t="shared" si="23"/>
        <v>129</v>
      </c>
    </row>
    <row r="75" spans="1:12" x14ac:dyDescent="0.25">
      <c r="A75" s="43" t="s">
        <v>99</v>
      </c>
      <c r="B75" s="43"/>
      <c r="C75" s="43" t="s">
        <v>97</v>
      </c>
      <c r="D75" t="str">
        <f t="shared" si="20"/>
        <v>10100001</v>
      </c>
      <c r="E75" t="s">
        <v>87</v>
      </c>
      <c r="F75" t="str">
        <f t="shared" si="21"/>
        <v>10100001,</v>
      </c>
      <c r="G75" t="s">
        <v>21</v>
      </c>
      <c r="H75" t="str">
        <f t="shared" si="24"/>
        <v>B10100001, //LDa_P</v>
      </c>
      <c r="J75" t="str">
        <f t="shared" si="22"/>
        <v>A1</v>
      </c>
      <c r="K75">
        <f t="shared" si="23"/>
        <v>161</v>
      </c>
    </row>
    <row r="76" spans="1:12" x14ac:dyDescent="0.25">
      <c r="A76" s="43" t="s">
        <v>86</v>
      </c>
      <c r="B76" s="43"/>
      <c r="C76" s="43" t="s">
        <v>100</v>
      </c>
      <c r="D76" t="str">
        <f t="shared" si="20"/>
        <v>01100000</v>
      </c>
      <c r="E76" t="s">
        <v>87</v>
      </c>
      <c r="F76" t="str">
        <f t="shared" si="21"/>
        <v>01100000,</v>
      </c>
      <c r="G76" t="s">
        <v>21</v>
      </c>
      <c r="H76" t="str">
        <f t="shared" si="24"/>
        <v>B01100000, //OUTA</v>
      </c>
      <c r="J76" t="str">
        <f t="shared" si="22"/>
        <v>60</v>
      </c>
      <c r="K76">
        <f t="shared" si="23"/>
        <v>96</v>
      </c>
    </row>
    <row r="77" spans="1:12" x14ac:dyDescent="0.25">
      <c r="A77" s="43"/>
      <c r="B77" s="43"/>
      <c r="C77" s="43"/>
    </row>
    <row r="78" spans="1:12" x14ac:dyDescent="0.25">
      <c r="A78" s="43" t="s">
        <v>108</v>
      </c>
      <c r="B78" s="43"/>
      <c r="C78" s="43"/>
    </row>
    <row r="79" spans="1:12" x14ac:dyDescent="0.25">
      <c r="A79" s="43" t="s">
        <v>79</v>
      </c>
      <c r="B79" s="43"/>
      <c r="C79" s="43" t="s">
        <v>100</v>
      </c>
      <c r="D79" t="str">
        <f t="shared" ref="D79:D98" si="25">Compile(A79,C79)</f>
        <v>00110000</v>
      </c>
      <c r="E79" t="s">
        <v>87</v>
      </c>
      <c r="F79" t="str">
        <f t="shared" ref="F79:F98" si="26">D79&amp;E79</f>
        <v>00110000,</v>
      </c>
      <c r="G79" t="s">
        <v>21</v>
      </c>
      <c r="H79" t="str">
        <f>G79&amp;F79&amp;" //"&amp;A79</f>
        <v>B00110000, //LDa_C</v>
      </c>
      <c r="J79" t="str">
        <f t="shared" ref="J79:J98" si="27">BIN2HEX(D79)</f>
        <v>30</v>
      </c>
      <c r="K79">
        <f>HEX2DEC(J79)</f>
        <v>48</v>
      </c>
      <c r="L79">
        <v>0</v>
      </c>
    </row>
    <row r="80" spans="1:12" x14ac:dyDescent="0.25">
      <c r="A80" s="43" t="s">
        <v>79</v>
      </c>
      <c r="B80" s="43"/>
      <c r="C80" s="43" t="s">
        <v>100</v>
      </c>
      <c r="D80" t="str">
        <f t="shared" si="25"/>
        <v>00110000</v>
      </c>
      <c r="E80" t="s">
        <v>87</v>
      </c>
      <c r="F80" t="str">
        <f t="shared" si="26"/>
        <v>00110000,</v>
      </c>
      <c r="G80" t="s">
        <v>21</v>
      </c>
      <c r="H80" t="str">
        <f>G80&amp;F80&amp;" //"&amp;A80</f>
        <v>B00110000, //LDa_C</v>
      </c>
      <c r="J80" t="str">
        <f t="shared" si="27"/>
        <v>30</v>
      </c>
      <c r="K80">
        <f t="shared" ref="K80:K98" si="28">HEX2DEC(J80)</f>
        <v>48</v>
      </c>
      <c r="L80">
        <v>1</v>
      </c>
    </row>
    <row r="81" spans="1:12" x14ac:dyDescent="0.25">
      <c r="A81" s="43" t="s">
        <v>79</v>
      </c>
      <c r="B81" s="43"/>
      <c r="C81" s="43" t="s">
        <v>100</v>
      </c>
      <c r="D81" t="str">
        <f t="shared" si="25"/>
        <v>00110000</v>
      </c>
      <c r="E81" t="s">
        <v>87</v>
      </c>
      <c r="F81" t="str">
        <f t="shared" si="26"/>
        <v>00110000,</v>
      </c>
      <c r="G81" t="s">
        <v>21</v>
      </c>
      <c r="H81" t="str">
        <f>G81&amp;F81&amp;" //"&amp;A81</f>
        <v>B00110000, //LDa_C</v>
      </c>
      <c r="J81" t="str">
        <f t="shared" si="27"/>
        <v>30</v>
      </c>
      <c r="K81">
        <f t="shared" si="28"/>
        <v>48</v>
      </c>
      <c r="L81">
        <v>2</v>
      </c>
    </row>
    <row r="82" spans="1:12" x14ac:dyDescent="0.25">
      <c r="A82" s="43" t="s">
        <v>79</v>
      </c>
      <c r="B82" s="43"/>
      <c r="C82" s="43" t="s">
        <v>101</v>
      </c>
      <c r="D82" t="str">
        <f t="shared" si="25"/>
        <v>00110110</v>
      </c>
      <c r="E82" t="s">
        <v>87</v>
      </c>
      <c r="F82" t="str">
        <f t="shared" si="26"/>
        <v>00110110,</v>
      </c>
      <c r="G82" t="s">
        <v>21</v>
      </c>
      <c r="H82" t="str">
        <f>G82&amp;F82&amp;" //"&amp;A82</f>
        <v>B00110110, //LDa_C</v>
      </c>
      <c r="J82" t="str">
        <f t="shared" si="27"/>
        <v>36</v>
      </c>
      <c r="K82">
        <f t="shared" si="28"/>
        <v>54</v>
      </c>
      <c r="L82">
        <v>3</v>
      </c>
    </row>
    <row r="83" spans="1:12" x14ac:dyDescent="0.25">
      <c r="A83" s="43" t="s">
        <v>83</v>
      </c>
      <c r="B83" s="43"/>
      <c r="C83" s="43" t="s">
        <v>98</v>
      </c>
      <c r="D83" t="str">
        <f t="shared" ref="D83" si="29">Compile(A83,C83)</f>
        <v>01110101</v>
      </c>
      <c r="E83" t="s">
        <v>87</v>
      </c>
      <c r="F83" t="str">
        <f t="shared" ref="F83" si="30">D83&amp;E83</f>
        <v>01110101,</v>
      </c>
      <c r="G83" t="s">
        <v>21</v>
      </c>
      <c r="H83" t="str">
        <f>G83&amp;F83&amp;" //"&amp;A83</f>
        <v>B01110101, //LDb_C</v>
      </c>
      <c r="J83" t="str">
        <f t="shared" ref="J83" si="31">BIN2HEX(D83)</f>
        <v>75</v>
      </c>
      <c r="K83">
        <f t="shared" si="28"/>
        <v>117</v>
      </c>
      <c r="L83">
        <v>4</v>
      </c>
    </row>
    <row r="84" spans="1:12" x14ac:dyDescent="0.25">
      <c r="A84" s="43" t="s">
        <v>85</v>
      </c>
      <c r="B84" s="43"/>
      <c r="C84" s="43" t="s">
        <v>97</v>
      </c>
      <c r="D84" t="str">
        <f>Compile(A84,C84)</f>
        <v>11100001</v>
      </c>
      <c r="E84" t="s">
        <v>87</v>
      </c>
      <c r="F84" t="str">
        <f t="shared" si="26"/>
        <v>11100001,</v>
      </c>
      <c r="G84" t="s">
        <v>21</v>
      </c>
      <c r="H84" t="str">
        <f t="shared" ref="H84:H98" si="32">G84&amp;F84&amp;" //"&amp;A84</f>
        <v>B11100001, //ADD_SP</v>
      </c>
      <c r="J84" t="str">
        <f t="shared" si="27"/>
        <v>E1</v>
      </c>
      <c r="K84">
        <f t="shared" si="28"/>
        <v>225</v>
      </c>
      <c r="L84">
        <v>5</v>
      </c>
    </row>
    <row r="85" spans="1:12" x14ac:dyDescent="0.25">
      <c r="A85" s="43" t="s">
        <v>99</v>
      </c>
      <c r="B85" s="43"/>
      <c r="C85" s="43" t="s">
        <v>97</v>
      </c>
      <c r="D85" t="str">
        <f t="shared" si="25"/>
        <v>10100001</v>
      </c>
      <c r="E85" t="s">
        <v>87</v>
      </c>
      <c r="F85" t="str">
        <f t="shared" si="26"/>
        <v>10100001,</v>
      </c>
      <c r="G85" t="s">
        <v>21</v>
      </c>
      <c r="H85" t="str">
        <f t="shared" si="32"/>
        <v>B10100001, //LDa_P</v>
      </c>
      <c r="J85" t="str">
        <f t="shared" si="27"/>
        <v>A1</v>
      </c>
      <c r="K85">
        <f t="shared" si="28"/>
        <v>161</v>
      </c>
      <c r="L85">
        <v>6</v>
      </c>
    </row>
    <row r="86" spans="1:12" x14ac:dyDescent="0.25">
      <c r="A86" s="43" t="s">
        <v>86</v>
      </c>
      <c r="B86" s="43"/>
      <c r="C86" s="43" t="s">
        <v>100</v>
      </c>
      <c r="D86" t="str">
        <f t="shared" si="25"/>
        <v>01100000</v>
      </c>
      <c r="E86" t="s">
        <v>87</v>
      </c>
      <c r="F86" t="str">
        <f t="shared" si="26"/>
        <v>01100000,</v>
      </c>
      <c r="G86" t="s">
        <v>21</v>
      </c>
      <c r="H86" t="str">
        <f t="shared" si="32"/>
        <v>B01100000, //OUTA</v>
      </c>
      <c r="J86" t="str">
        <f t="shared" si="27"/>
        <v>60</v>
      </c>
      <c r="K86">
        <f t="shared" si="28"/>
        <v>96</v>
      </c>
      <c r="L86">
        <v>7</v>
      </c>
    </row>
    <row r="87" spans="1:12" x14ac:dyDescent="0.25">
      <c r="A87" s="43" t="s">
        <v>79</v>
      </c>
      <c r="B87" s="43"/>
      <c r="C87" s="43" t="s">
        <v>101</v>
      </c>
      <c r="D87" t="str">
        <f t="shared" si="25"/>
        <v>00110110</v>
      </c>
      <c r="E87" t="s">
        <v>87</v>
      </c>
      <c r="F87" t="str">
        <f t="shared" si="26"/>
        <v>00110110,</v>
      </c>
      <c r="G87" t="s">
        <v>21</v>
      </c>
      <c r="H87" t="str">
        <f t="shared" si="32"/>
        <v>B00110110, //LDa_C</v>
      </c>
      <c r="J87" t="str">
        <f t="shared" si="27"/>
        <v>36</v>
      </c>
      <c r="K87">
        <f t="shared" si="28"/>
        <v>54</v>
      </c>
      <c r="L87">
        <v>8</v>
      </c>
    </row>
    <row r="88" spans="1:12" x14ac:dyDescent="0.25">
      <c r="A88" s="43" t="s">
        <v>84</v>
      </c>
      <c r="B88" s="43"/>
      <c r="C88" s="43" t="s">
        <v>97</v>
      </c>
      <c r="D88" t="str">
        <f t="shared" si="25"/>
        <v>10000001</v>
      </c>
      <c r="E88" t="s">
        <v>87</v>
      </c>
      <c r="F88" t="str">
        <f t="shared" si="26"/>
        <v>10000001,</v>
      </c>
      <c r="G88" t="s">
        <v>21</v>
      </c>
      <c r="H88" t="str">
        <f t="shared" si="32"/>
        <v>B10000001, //STa_P</v>
      </c>
      <c r="J88" t="str">
        <f t="shared" si="27"/>
        <v>81</v>
      </c>
      <c r="K88">
        <f t="shared" si="28"/>
        <v>129</v>
      </c>
      <c r="L88">
        <v>9</v>
      </c>
    </row>
    <row r="89" spans="1:12" x14ac:dyDescent="0.25">
      <c r="A89" s="43" t="s">
        <v>99</v>
      </c>
      <c r="B89" s="43"/>
      <c r="C89" s="43" t="s">
        <v>97</v>
      </c>
      <c r="D89" t="str">
        <f t="shared" si="25"/>
        <v>10100001</v>
      </c>
      <c r="E89" t="s">
        <v>87</v>
      </c>
      <c r="F89" t="str">
        <f t="shared" si="26"/>
        <v>10100001,</v>
      </c>
      <c r="G89" t="s">
        <v>21</v>
      </c>
      <c r="H89" t="str">
        <f t="shared" si="32"/>
        <v>B10100001, //LDa_P</v>
      </c>
      <c r="J89" t="str">
        <f t="shared" si="27"/>
        <v>A1</v>
      </c>
      <c r="K89">
        <f t="shared" si="28"/>
        <v>161</v>
      </c>
      <c r="L89">
        <v>10</v>
      </c>
    </row>
    <row r="90" spans="1:12" x14ac:dyDescent="0.25">
      <c r="A90" s="43" t="s">
        <v>86</v>
      </c>
      <c r="B90" s="43"/>
      <c r="C90" s="43" t="s">
        <v>100</v>
      </c>
      <c r="D90" t="str">
        <f t="shared" si="25"/>
        <v>01100000</v>
      </c>
      <c r="E90" t="s">
        <v>87</v>
      </c>
      <c r="F90" t="str">
        <f t="shared" si="26"/>
        <v>01100000,</v>
      </c>
      <c r="G90" t="s">
        <v>21</v>
      </c>
      <c r="H90" t="str">
        <f t="shared" si="32"/>
        <v>B01100000, //OUTA</v>
      </c>
      <c r="J90" t="str">
        <f t="shared" si="27"/>
        <v>60</v>
      </c>
      <c r="K90">
        <f t="shared" si="28"/>
        <v>96</v>
      </c>
      <c r="L90">
        <v>11</v>
      </c>
    </row>
    <row r="91" spans="1:12" x14ac:dyDescent="0.25">
      <c r="A91" s="43" t="s">
        <v>79</v>
      </c>
      <c r="B91" s="43"/>
      <c r="C91" s="43" t="s">
        <v>102</v>
      </c>
      <c r="D91" t="str">
        <f t="shared" si="25"/>
        <v>00110011</v>
      </c>
      <c r="E91" t="s">
        <v>87</v>
      </c>
      <c r="F91" t="str">
        <f t="shared" si="26"/>
        <v>00110011,</v>
      </c>
      <c r="G91" t="s">
        <v>21</v>
      </c>
      <c r="H91" t="str">
        <f t="shared" si="32"/>
        <v>B00110011, //LDa_C</v>
      </c>
      <c r="J91" t="str">
        <f t="shared" si="27"/>
        <v>33</v>
      </c>
      <c r="K91">
        <f t="shared" si="28"/>
        <v>51</v>
      </c>
      <c r="L91">
        <v>12</v>
      </c>
    </row>
    <row r="92" spans="1:12" x14ac:dyDescent="0.25">
      <c r="A92" s="43" t="s">
        <v>84</v>
      </c>
      <c r="B92" s="43"/>
      <c r="C92" s="43" t="s">
        <v>97</v>
      </c>
      <c r="D92" t="str">
        <f t="shared" si="25"/>
        <v>10000001</v>
      </c>
      <c r="E92" t="s">
        <v>87</v>
      </c>
      <c r="F92" t="str">
        <f t="shared" si="26"/>
        <v>10000001,</v>
      </c>
      <c r="G92" t="s">
        <v>21</v>
      </c>
      <c r="H92" t="str">
        <f t="shared" si="32"/>
        <v>B10000001, //STa_P</v>
      </c>
      <c r="J92" t="str">
        <f t="shared" si="27"/>
        <v>81</v>
      </c>
      <c r="K92">
        <f t="shared" si="28"/>
        <v>129</v>
      </c>
      <c r="L92">
        <v>13</v>
      </c>
    </row>
    <row r="93" spans="1:12" x14ac:dyDescent="0.25">
      <c r="A93" s="43" t="s">
        <v>99</v>
      </c>
      <c r="B93" s="43"/>
      <c r="C93" s="43" t="s">
        <v>97</v>
      </c>
      <c r="D93" t="str">
        <f t="shared" si="25"/>
        <v>10100001</v>
      </c>
      <c r="E93" t="s">
        <v>87</v>
      </c>
      <c r="F93" t="str">
        <f t="shared" si="26"/>
        <v>10100001,</v>
      </c>
      <c r="G93" t="s">
        <v>21</v>
      </c>
      <c r="H93" t="str">
        <f t="shared" si="32"/>
        <v>B10100001, //LDa_P</v>
      </c>
      <c r="J93" t="str">
        <f t="shared" si="27"/>
        <v>A1</v>
      </c>
      <c r="K93">
        <f t="shared" si="28"/>
        <v>161</v>
      </c>
      <c r="L93">
        <v>14</v>
      </c>
    </row>
    <row r="94" spans="1:12" x14ac:dyDescent="0.25">
      <c r="A94" s="43" t="s">
        <v>86</v>
      </c>
      <c r="B94" s="43"/>
      <c r="C94" s="43" t="s">
        <v>100</v>
      </c>
      <c r="D94" t="str">
        <f t="shared" si="25"/>
        <v>01100000</v>
      </c>
      <c r="E94" t="s">
        <v>87</v>
      </c>
      <c r="F94" t="str">
        <f t="shared" si="26"/>
        <v>01100000,</v>
      </c>
      <c r="G94" t="s">
        <v>21</v>
      </c>
      <c r="H94" t="str">
        <f t="shared" si="32"/>
        <v>B01100000, //OUTA</v>
      </c>
      <c r="J94" t="str">
        <f t="shared" si="27"/>
        <v>60</v>
      </c>
      <c r="K94">
        <f t="shared" si="28"/>
        <v>96</v>
      </c>
      <c r="L94">
        <v>15</v>
      </c>
    </row>
    <row r="95" spans="1:12" x14ac:dyDescent="0.25">
      <c r="A95" s="43" t="s">
        <v>79</v>
      </c>
      <c r="B95" s="43"/>
      <c r="C95" s="43" t="s">
        <v>98</v>
      </c>
      <c r="D95" t="str">
        <f t="shared" si="25"/>
        <v>00110101</v>
      </c>
      <c r="E95" t="s">
        <v>87</v>
      </c>
      <c r="F95" t="str">
        <f t="shared" si="26"/>
        <v>00110101,</v>
      </c>
      <c r="G95" t="s">
        <v>21</v>
      </c>
      <c r="H95" t="str">
        <f t="shared" si="32"/>
        <v>B00110101, //LDa_C</v>
      </c>
      <c r="J95" t="str">
        <f t="shared" si="27"/>
        <v>35</v>
      </c>
      <c r="K95">
        <f t="shared" si="28"/>
        <v>53</v>
      </c>
      <c r="L95">
        <v>16</v>
      </c>
    </row>
    <row r="96" spans="1:12" x14ac:dyDescent="0.25">
      <c r="A96" s="43" t="s">
        <v>84</v>
      </c>
      <c r="B96" s="43"/>
      <c r="C96" s="43" t="s">
        <v>97</v>
      </c>
      <c r="D96" t="str">
        <f t="shared" si="25"/>
        <v>10000001</v>
      </c>
      <c r="E96" t="s">
        <v>87</v>
      </c>
      <c r="F96" t="str">
        <f t="shared" si="26"/>
        <v>10000001,</v>
      </c>
      <c r="G96" t="s">
        <v>21</v>
      </c>
      <c r="H96" t="str">
        <f t="shared" si="32"/>
        <v>B10000001, //STa_P</v>
      </c>
      <c r="J96" t="str">
        <f t="shared" si="27"/>
        <v>81</v>
      </c>
      <c r="K96">
        <f t="shared" si="28"/>
        <v>129</v>
      </c>
      <c r="L96">
        <v>17</v>
      </c>
    </row>
    <row r="97" spans="1:12" x14ac:dyDescent="0.25">
      <c r="A97" s="43" t="s">
        <v>99</v>
      </c>
      <c r="B97" s="43"/>
      <c r="C97" s="43" t="s">
        <v>97</v>
      </c>
      <c r="D97" t="str">
        <f t="shared" si="25"/>
        <v>10100001</v>
      </c>
      <c r="E97" t="s">
        <v>87</v>
      </c>
      <c r="F97" t="str">
        <f t="shared" si="26"/>
        <v>10100001,</v>
      </c>
      <c r="G97" t="s">
        <v>21</v>
      </c>
      <c r="H97" t="str">
        <f t="shared" si="32"/>
        <v>B10100001, //LDa_P</v>
      </c>
      <c r="J97" t="str">
        <f t="shared" si="27"/>
        <v>A1</v>
      </c>
      <c r="K97">
        <f t="shared" si="28"/>
        <v>161</v>
      </c>
      <c r="L97">
        <v>18</v>
      </c>
    </row>
    <row r="98" spans="1:12" x14ac:dyDescent="0.25">
      <c r="A98" s="43" t="s">
        <v>86</v>
      </c>
      <c r="B98" s="43"/>
      <c r="C98" s="43" t="s">
        <v>100</v>
      </c>
      <c r="D98" t="str">
        <f t="shared" si="25"/>
        <v>01100000</v>
      </c>
      <c r="E98" t="s">
        <v>87</v>
      </c>
      <c r="F98" t="str">
        <f t="shared" si="26"/>
        <v>01100000,</v>
      </c>
      <c r="G98" t="s">
        <v>21</v>
      </c>
      <c r="H98" t="str">
        <f t="shared" si="32"/>
        <v>B01100000, //OUTA</v>
      </c>
      <c r="J98" t="str">
        <f t="shared" si="27"/>
        <v>60</v>
      </c>
      <c r="K98">
        <f t="shared" si="28"/>
        <v>96</v>
      </c>
      <c r="L98">
        <v>19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P21"/>
  <sheetViews>
    <sheetView zoomScale="85" zoomScaleNormal="85" workbookViewId="0">
      <selection activeCell="K27" sqref="K27"/>
    </sheetView>
  </sheetViews>
  <sheetFormatPr defaultRowHeight="15" x14ac:dyDescent="0.25"/>
  <sheetData>
    <row r="1" spans="1:16" x14ac:dyDescent="0.25">
      <c r="A1" s="48" t="s">
        <v>89</v>
      </c>
      <c r="B1" s="48"/>
      <c r="C1" s="48"/>
      <c r="D1" s="48"/>
      <c r="E1" s="39">
        <v>43137</v>
      </c>
    </row>
    <row r="2" spans="1:16" x14ac:dyDescent="0.25">
      <c r="A2" s="48"/>
      <c r="B2" s="48"/>
      <c r="C2" s="48"/>
      <c r="D2" s="48"/>
      <c r="G2" s="4">
        <v>20</v>
      </c>
      <c r="H2" s="4">
        <v>19</v>
      </c>
      <c r="I2" s="4">
        <v>18</v>
      </c>
      <c r="J2" s="4">
        <v>17</v>
      </c>
      <c r="K2" s="4">
        <v>16</v>
      </c>
      <c r="L2" s="4">
        <v>15</v>
      </c>
      <c r="M2" s="4">
        <v>13</v>
      </c>
      <c r="N2" s="4">
        <v>12</v>
      </c>
      <c r="O2" s="4">
        <v>10</v>
      </c>
      <c r="P2" s="4">
        <v>7</v>
      </c>
    </row>
    <row r="3" spans="1:16" x14ac:dyDescent="0.25">
      <c r="A3" s="28"/>
      <c r="B3" s="19">
        <v>7</v>
      </c>
      <c r="C3" s="19">
        <v>6</v>
      </c>
      <c r="D3" s="19">
        <v>5</v>
      </c>
      <c r="E3" s="19">
        <v>4</v>
      </c>
      <c r="F3" s="18" t="s">
        <v>74</v>
      </c>
      <c r="G3" s="26" t="s">
        <v>63</v>
      </c>
      <c r="H3" s="26"/>
      <c r="I3" s="26"/>
      <c r="J3" s="26"/>
      <c r="K3" s="26"/>
      <c r="L3" s="26"/>
      <c r="M3" s="26"/>
      <c r="N3" s="27" t="s">
        <v>65</v>
      </c>
      <c r="O3" s="27"/>
      <c r="P3" s="30"/>
    </row>
    <row r="4" spans="1:16" x14ac:dyDescent="0.25">
      <c r="A4" s="28"/>
      <c r="B4" s="19" t="s">
        <v>14</v>
      </c>
      <c r="C4" s="19" t="s">
        <v>14</v>
      </c>
      <c r="D4" s="19" t="s">
        <v>14</v>
      </c>
      <c r="E4" s="19" t="s">
        <v>14</v>
      </c>
      <c r="F4" s="18"/>
      <c r="G4" s="20" t="s">
        <v>64</v>
      </c>
      <c r="H4" s="21" t="s">
        <v>16</v>
      </c>
      <c r="I4" s="21" t="s">
        <v>21</v>
      </c>
      <c r="J4" s="21" t="s">
        <v>15</v>
      </c>
      <c r="K4" s="21" t="s">
        <v>35</v>
      </c>
      <c r="L4" s="21" t="s">
        <v>39</v>
      </c>
      <c r="M4" s="21" t="s">
        <v>66</v>
      </c>
      <c r="N4" s="21" t="s">
        <v>73</v>
      </c>
      <c r="O4" s="21" t="s">
        <v>15</v>
      </c>
      <c r="P4" s="31" t="s">
        <v>16</v>
      </c>
    </row>
    <row r="5" spans="1:16" x14ac:dyDescent="0.25">
      <c r="A5" s="29" t="s">
        <v>1</v>
      </c>
      <c r="B5" s="22">
        <v>0</v>
      </c>
      <c r="C5" s="23">
        <v>0</v>
      </c>
      <c r="D5" s="23">
        <v>1</v>
      </c>
      <c r="E5" s="24">
        <v>1</v>
      </c>
      <c r="F5" s="18">
        <v>0</v>
      </c>
      <c r="G5" s="18">
        <v>1</v>
      </c>
      <c r="H5" s="18">
        <v>1</v>
      </c>
      <c r="I5" s="18">
        <v>0</v>
      </c>
      <c r="J5" s="18">
        <v>0</v>
      </c>
      <c r="K5" s="18">
        <v>0</v>
      </c>
      <c r="L5" s="18">
        <v>0</v>
      </c>
      <c r="M5" s="18">
        <v>0</v>
      </c>
      <c r="N5" s="18">
        <v>1</v>
      </c>
      <c r="O5" s="18">
        <v>0</v>
      </c>
      <c r="P5" s="32">
        <v>0</v>
      </c>
    </row>
    <row r="6" spans="1:16" x14ac:dyDescent="0.25">
      <c r="A6" s="29" t="s">
        <v>2</v>
      </c>
      <c r="B6" s="22">
        <v>1</v>
      </c>
      <c r="C6" s="23">
        <v>0</v>
      </c>
      <c r="D6" s="23">
        <v>1</v>
      </c>
      <c r="E6" s="24">
        <v>0</v>
      </c>
      <c r="F6" s="18">
        <v>0</v>
      </c>
      <c r="G6" s="25">
        <v>0</v>
      </c>
      <c r="H6" s="18">
        <v>1</v>
      </c>
      <c r="I6" s="18">
        <v>0</v>
      </c>
      <c r="J6" s="18">
        <v>1</v>
      </c>
      <c r="K6" s="18">
        <v>0</v>
      </c>
      <c r="L6" s="18">
        <v>0</v>
      </c>
      <c r="M6" s="18">
        <v>0</v>
      </c>
      <c r="N6" s="18">
        <v>1</v>
      </c>
      <c r="O6" s="18">
        <v>0</v>
      </c>
      <c r="P6" s="32">
        <v>0</v>
      </c>
    </row>
    <row r="7" spans="1:16" x14ac:dyDescent="0.25">
      <c r="A7" s="29" t="s">
        <v>75</v>
      </c>
      <c r="B7" s="22">
        <v>1</v>
      </c>
      <c r="C7" s="23">
        <v>0</v>
      </c>
      <c r="D7" s="23">
        <v>1</v>
      </c>
      <c r="E7" s="24">
        <v>0</v>
      </c>
      <c r="F7" s="18">
        <v>1</v>
      </c>
      <c r="G7" s="18">
        <v>1</v>
      </c>
      <c r="H7" s="18">
        <v>1</v>
      </c>
      <c r="I7" s="18">
        <v>0</v>
      </c>
      <c r="J7" s="18">
        <v>0</v>
      </c>
      <c r="K7" s="18">
        <v>0</v>
      </c>
      <c r="L7" s="18">
        <v>0</v>
      </c>
      <c r="M7" s="18">
        <v>0</v>
      </c>
      <c r="N7" s="18">
        <v>1</v>
      </c>
      <c r="O7" s="18">
        <v>1</v>
      </c>
      <c r="P7" s="32">
        <v>0</v>
      </c>
    </row>
    <row r="8" spans="1:16" x14ac:dyDescent="0.25">
      <c r="A8" s="29" t="s">
        <v>3</v>
      </c>
      <c r="B8" s="22">
        <v>0</v>
      </c>
      <c r="C8" s="23">
        <v>1</v>
      </c>
      <c r="D8" s="23">
        <v>1</v>
      </c>
      <c r="E8" s="24">
        <v>1</v>
      </c>
      <c r="F8" s="18">
        <v>0</v>
      </c>
      <c r="G8" s="18">
        <v>1</v>
      </c>
      <c r="H8" s="18">
        <v>0</v>
      </c>
      <c r="I8" s="18">
        <v>1</v>
      </c>
      <c r="J8" s="18">
        <v>0</v>
      </c>
      <c r="K8" s="18">
        <v>0</v>
      </c>
      <c r="L8" s="18">
        <v>0</v>
      </c>
      <c r="M8" s="18">
        <v>0</v>
      </c>
      <c r="N8" s="18">
        <v>1</v>
      </c>
      <c r="O8" s="18">
        <v>0</v>
      </c>
      <c r="P8" s="32">
        <v>0</v>
      </c>
    </row>
    <row r="9" spans="1:16" x14ac:dyDescent="0.25">
      <c r="A9" s="29" t="s">
        <v>4</v>
      </c>
      <c r="B9" s="22">
        <v>1</v>
      </c>
      <c r="C9" s="23">
        <v>1</v>
      </c>
      <c r="D9" s="23">
        <v>0</v>
      </c>
      <c r="E9" s="24">
        <v>0</v>
      </c>
      <c r="F9" s="18">
        <v>0</v>
      </c>
      <c r="G9" s="25">
        <v>0</v>
      </c>
      <c r="H9" s="18">
        <v>0</v>
      </c>
      <c r="I9" s="18">
        <v>1</v>
      </c>
      <c r="J9" s="18">
        <v>1</v>
      </c>
      <c r="K9" s="18">
        <v>0</v>
      </c>
      <c r="L9" s="18">
        <v>0</v>
      </c>
      <c r="M9" s="18">
        <v>0</v>
      </c>
      <c r="N9" s="18">
        <v>1</v>
      </c>
      <c r="O9" s="18">
        <v>0</v>
      </c>
      <c r="P9" s="32">
        <v>0</v>
      </c>
    </row>
    <row r="10" spans="1:16" x14ac:dyDescent="0.25">
      <c r="A10" s="29" t="s">
        <v>76</v>
      </c>
      <c r="B10" s="22">
        <v>1</v>
      </c>
      <c r="C10" s="23">
        <v>1</v>
      </c>
      <c r="D10" s="23">
        <v>0</v>
      </c>
      <c r="E10" s="24">
        <v>0</v>
      </c>
      <c r="F10" s="18">
        <v>1</v>
      </c>
      <c r="G10" s="18">
        <v>1</v>
      </c>
      <c r="H10" s="18">
        <v>0</v>
      </c>
      <c r="I10" s="18">
        <v>1</v>
      </c>
      <c r="J10" s="18">
        <v>0</v>
      </c>
      <c r="K10" s="18">
        <v>0</v>
      </c>
      <c r="L10" s="18">
        <v>0</v>
      </c>
      <c r="M10" s="18">
        <v>0</v>
      </c>
      <c r="N10" s="18">
        <v>1</v>
      </c>
      <c r="O10" s="18">
        <v>1</v>
      </c>
      <c r="P10" s="32">
        <v>0</v>
      </c>
    </row>
    <row r="11" spans="1:16" x14ac:dyDescent="0.25">
      <c r="A11" s="29" t="s">
        <v>5</v>
      </c>
      <c r="B11" s="22">
        <v>1</v>
      </c>
      <c r="C11" s="23">
        <v>0</v>
      </c>
      <c r="D11" s="23">
        <v>0</v>
      </c>
      <c r="E11" s="24">
        <v>0</v>
      </c>
      <c r="F11" s="18">
        <v>0</v>
      </c>
      <c r="G11" s="25">
        <v>0</v>
      </c>
      <c r="H11" s="18">
        <v>0</v>
      </c>
      <c r="I11" s="18">
        <v>0</v>
      </c>
      <c r="J11" s="18">
        <v>1</v>
      </c>
      <c r="K11" s="18">
        <v>0</v>
      </c>
      <c r="L11" s="18">
        <v>0</v>
      </c>
      <c r="M11" s="18">
        <v>0</v>
      </c>
      <c r="N11" s="18">
        <v>1</v>
      </c>
      <c r="O11" s="18">
        <v>0</v>
      </c>
      <c r="P11" s="32">
        <v>0</v>
      </c>
    </row>
    <row r="12" spans="1:16" x14ac:dyDescent="0.25">
      <c r="A12" s="29" t="s">
        <v>77</v>
      </c>
      <c r="B12" s="22">
        <v>1</v>
      </c>
      <c r="C12" s="23">
        <v>0</v>
      </c>
      <c r="D12" s="23">
        <v>0</v>
      </c>
      <c r="E12" s="24">
        <v>0</v>
      </c>
      <c r="F12" s="18">
        <v>1</v>
      </c>
      <c r="G12" s="18">
        <v>1</v>
      </c>
      <c r="H12" s="18">
        <v>0</v>
      </c>
      <c r="I12" s="18">
        <v>0</v>
      </c>
      <c r="J12" s="21">
        <v>0</v>
      </c>
      <c r="K12" s="18">
        <v>1</v>
      </c>
      <c r="L12" s="18">
        <v>0</v>
      </c>
      <c r="M12" s="18">
        <v>0</v>
      </c>
      <c r="N12" s="18">
        <v>0</v>
      </c>
      <c r="O12" s="18">
        <v>1</v>
      </c>
      <c r="P12" s="32">
        <v>1</v>
      </c>
    </row>
    <row r="13" spans="1:16" x14ac:dyDescent="0.25">
      <c r="A13" s="29" t="s">
        <v>31</v>
      </c>
      <c r="B13" s="22">
        <v>1</v>
      </c>
      <c r="C13" s="23">
        <v>1</v>
      </c>
      <c r="D13" s="23">
        <v>1</v>
      </c>
      <c r="E13" s="24">
        <v>0</v>
      </c>
      <c r="F13" s="18">
        <v>0</v>
      </c>
      <c r="G13" s="25">
        <v>0</v>
      </c>
      <c r="H13" s="18">
        <v>0</v>
      </c>
      <c r="I13" s="18">
        <v>0</v>
      </c>
      <c r="J13" s="18">
        <v>1</v>
      </c>
      <c r="K13" s="18">
        <v>0</v>
      </c>
      <c r="L13" s="18">
        <v>0</v>
      </c>
      <c r="M13" s="18">
        <v>1</v>
      </c>
      <c r="N13" s="18">
        <v>1</v>
      </c>
      <c r="O13" s="18">
        <v>0</v>
      </c>
      <c r="P13" s="32">
        <v>0</v>
      </c>
    </row>
    <row r="14" spans="1:16" x14ac:dyDescent="0.25">
      <c r="A14" s="29" t="s">
        <v>78</v>
      </c>
      <c r="B14" s="22">
        <v>1</v>
      </c>
      <c r="C14" s="23">
        <v>1</v>
      </c>
      <c r="D14" s="23">
        <v>1</v>
      </c>
      <c r="E14" s="24">
        <v>0</v>
      </c>
      <c r="F14" s="18">
        <v>1</v>
      </c>
      <c r="G14" s="18">
        <v>1</v>
      </c>
      <c r="H14" s="18">
        <v>0</v>
      </c>
      <c r="I14" s="18">
        <v>0</v>
      </c>
      <c r="J14" s="18">
        <v>0</v>
      </c>
      <c r="K14" s="18">
        <v>1</v>
      </c>
      <c r="L14" s="18">
        <v>0</v>
      </c>
      <c r="M14" s="18">
        <v>1</v>
      </c>
      <c r="N14" s="18">
        <v>0</v>
      </c>
      <c r="O14" s="18">
        <v>1</v>
      </c>
      <c r="P14" s="32">
        <v>1</v>
      </c>
    </row>
    <row r="15" spans="1:16" x14ac:dyDescent="0.25">
      <c r="A15" s="29" t="s">
        <v>6</v>
      </c>
      <c r="B15" s="22">
        <v>0</v>
      </c>
      <c r="C15" s="23">
        <v>1</v>
      </c>
      <c r="D15" s="23">
        <v>1</v>
      </c>
      <c r="E15" s="24">
        <v>0</v>
      </c>
      <c r="F15" s="18">
        <v>0</v>
      </c>
      <c r="G15" s="18">
        <v>1</v>
      </c>
      <c r="H15" s="18">
        <v>0</v>
      </c>
      <c r="I15" s="18">
        <v>0</v>
      </c>
      <c r="J15" s="18">
        <v>0</v>
      </c>
      <c r="K15" s="18">
        <v>0</v>
      </c>
      <c r="L15" s="18">
        <v>1</v>
      </c>
      <c r="M15" s="18">
        <v>0</v>
      </c>
      <c r="N15" s="40">
        <v>1</v>
      </c>
      <c r="O15" s="18">
        <v>0</v>
      </c>
      <c r="P15" s="32">
        <v>1</v>
      </c>
    </row>
    <row r="16" spans="1:16" x14ac:dyDescent="0.25">
      <c r="A16" s="33" t="s">
        <v>11</v>
      </c>
      <c r="B16" s="34">
        <v>0</v>
      </c>
      <c r="C16" s="35">
        <v>0</v>
      </c>
      <c r="D16" s="35">
        <v>0</v>
      </c>
      <c r="E16" s="36">
        <v>1</v>
      </c>
      <c r="F16" s="37">
        <v>0</v>
      </c>
      <c r="G16" s="37">
        <v>1</v>
      </c>
      <c r="H16" s="37">
        <v>0</v>
      </c>
      <c r="I16" s="37">
        <v>0</v>
      </c>
      <c r="J16" s="37">
        <v>0</v>
      </c>
      <c r="K16" s="37">
        <v>0</v>
      </c>
      <c r="L16" s="37">
        <v>0</v>
      </c>
      <c r="M16" s="37">
        <v>0</v>
      </c>
      <c r="N16" s="37">
        <v>1</v>
      </c>
      <c r="O16" s="37">
        <v>0</v>
      </c>
      <c r="P16" s="38">
        <v>0</v>
      </c>
    </row>
    <row r="20" spans="12:12" x14ac:dyDescent="0.25">
      <c r="L20" t="s">
        <v>90</v>
      </c>
    </row>
    <row r="21" spans="12:12" x14ac:dyDescent="0.25">
      <c r="L21" t="s">
        <v>91</v>
      </c>
    </row>
  </sheetData>
  <mergeCells count="1">
    <mergeCell ref="A1:D2"/>
  </mergeCells>
  <conditionalFormatting sqref="G5:N16 O14">
    <cfRule type="cellIs" dxfId="5" priority="2" operator="greaterThan">
      <formula>0.5</formula>
    </cfRule>
  </conditionalFormatting>
  <conditionalFormatting sqref="N5:P16">
    <cfRule type="cellIs" dxfId="4" priority="1" operator="greaterThan">
      <formula>0.5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7BF4-3DDD-43EE-9F46-42B46946906F}">
  <sheetPr codeName="Sheet13"/>
  <dimension ref="A1:P21"/>
  <sheetViews>
    <sheetView zoomScale="85" zoomScaleNormal="85" workbookViewId="0">
      <selection activeCell="P34" sqref="P34"/>
    </sheetView>
  </sheetViews>
  <sheetFormatPr defaultRowHeight="15" x14ac:dyDescent="0.25"/>
  <sheetData>
    <row r="1" spans="1:16" ht="15" customHeight="1" x14ac:dyDescent="0.25">
      <c r="A1" s="48" t="s">
        <v>88</v>
      </c>
      <c r="B1" s="48"/>
      <c r="C1" s="48"/>
      <c r="D1" s="48"/>
      <c r="E1" s="39">
        <v>43193</v>
      </c>
    </row>
    <row r="2" spans="1:16" ht="15" customHeight="1" x14ac:dyDescent="0.25">
      <c r="A2" s="48"/>
      <c r="B2" s="48"/>
      <c r="C2" s="48"/>
      <c r="D2" s="48"/>
      <c r="G2" s="4">
        <v>20</v>
      </c>
      <c r="H2" s="4">
        <v>19</v>
      </c>
      <c r="I2" s="4">
        <v>18</v>
      </c>
      <c r="J2" s="4">
        <v>17</v>
      </c>
      <c r="K2" s="4">
        <v>16</v>
      </c>
      <c r="L2" s="4">
        <v>15</v>
      </c>
      <c r="M2" s="4">
        <v>13</v>
      </c>
      <c r="N2" s="4">
        <v>12</v>
      </c>
      <c r="O2" s="4">
        <v>10</v>
      </c>
      <c r="P2" s="4">
        <v>7</v>
      </c>
    </row>
    <row r="3" spans="1:16" x14ac:dyDescent="0.25">
      <c r="A3" s="28"/>
      <c r="B3" s="19">
        <v>7</v>
      </c>
      <c r="C3" s="19">
        <v>6</v>
      </c>
      <c r="D3" s="19">
        <v>5</v>
      </c>
      <c r="E3" s="19">
        <v>4</v>
      </c>
      <c r="F3" s="18" t="s">
        <v>74</v>
      </c>
      <c r="G3" s="26" t="s">
        <v>63</v>
      </c>
      <c r="H3" s="26"/>
      <c r="I3" s="26"/>
      <c r="J3" s="26"/>
      <c r="K3" s="26"/>
      <c r="L3" s="26"/>
      <c r="M3" s="26"/>
      <c r="N3" s="27" t="s">
        <v>65</v>
      </c>
      <c r="O3" s="27"/>
      <c r="P3" s="30"/>
    </row>
    <row r="4" spans="1:16" x14ac:dyDescent="0.25">
      <c r="A4" s="28"/>
      <c r="B4" s="19" t="s">
        <v>14</v>
      </c>
      <c r="C4" s="19" t="s">
        <v>14</v>
      </c>
      <c r="D4" s="19" t="s">
        <v>14</v>
      </c>
      <c r="E4" s="19" t="s">
        <v>14</v>
      </c>
      <c r="F4" s="18"/>
      <c r="G4" s="20" t="s">
        <v>64</v>
      </c>
      <c r="H4" s="21" t="s">
        <v>16</v>
      </c>
      <c r="I4" s="21" t="s">
        <v>21</v>
      </c>
      <c r="J4" s="21" t="s">
        <v>15</v>
      </c>
      <c r="K4" s="21" t="s">
        <v>35</v>
      </c>
      <c r="L4" s="21" t="s">
        <v>39</v>
      </c>
      <c r="M4" s="21" t="s">
        <v>66</v>
      </c>
      <c r="N4" s="21" t="s">
        <v>73</v>
      </c>
      <c r="O4" s="21" t="s">
        <v>15</v>
      </c>
      <c r="P4" s="31" t="s">
        <v>16</v>
      </c>
    </row>
    <row r="5" spans="1:16" x14ac:dyDescent="0.25">
      <c r="A5" s="29" t="s">
        <v>1</v>
      </c>
      <c r="B5" s="22">
        <v>0</v>
      </c>
      <c r="C5" s="23">
        <v>0</v>
      </c>
      <c r="D5" s="23">
        <v>1</v>
      </c>
      <c r="E5" s="24">
        <v>1</v>
      </c>
      <c r="F5" s="18">
        <v>0</v>
      </c>
      <c r="G5" s="18">
        <v>1</v>
      </c>
      <c r="H5" s="18">
        <v>1</v>
      </c>
      <c r="I5" s="18">
        <v>0</v>
      </c>
      <c r="J5" s="18">
        <v>0</v>
      </c>
      <c r="K5" s="18">
        <v>0</v>
      </c>
      <c r="L5" s="18">
        <v>0</v>
      </c>
      <c r="M5" s="18">
        <v>0</v>
      </c>
      <c r="N5" s="18">
        <v>1</v>
      </c>
      <c r="O5" s="18">
        <v>0</v>
      </c>
      <c r="P5" s="32">
        <v>0</v>
      </c>
    </row>
    <row r="6" spans="1:16" x14ac:dyDescent="0.25">
      <c r="A6" s="29" t="s">
        <v>2</v>
      </c>
      <c r="B6" s="22">
        <v>1</v>
      </c>
      <c r="C6" s="23">
        <v>0</v>
      </c>
      <c r="D6" s="23">
        <v>1</v>
      </c>
      <c r="E6" s="24">
        <v>0</v>
      </c>
      <c r="F6" s="18">
        <v>0</v>
      </c>
      <c r="G6" s="25">
        <v>0</v>
      </c>
      <c r="H6" s="18">
        <v>1</v>
      </c>
      <c r="I6" s="18">
        <v>0</v>
      </c>
      <c r="J6" s="18">
        <v>1</v>
      </c>
      <c r="K6" s="18">
        <v>0</v>
      </c>
      <c r="L6" s="18">
        <v>0</v>
      </c>
      <c r="M6" s="18">
        <v>0</v>
      </c>
      <c r="N6" s="18">
        <v>1</v>
      </c>
      <c r="O6" s="18">
        <v>0</v>
      </c>
      <c r="P6" s="32">
        <v>0</v>
      </c>
    </row>
    <row r="7" spans="1:16" x14ac:dyDescent="0.25">
      <c r="A7" s="29" t="s">
        <v>75</v>
      </c>
      <c r="B7" s="22">
        <v>1</v>
      </c>
      <c r="C7" s="23">
        <v>0</v>
      </c>
      <c r="D7" s="23">
        <v>1</v>
      </c>
      <c r="E7" s="24">
        <v>0</v>
      </c>
      <c r="F7" s="18">
        <v>1</v>
      </c>
      <c r="G7" s="21">
        <v>1</v>
      </c>
      <c r="H7" s="18">
        <v>1</v>
      </c>
      <c r="I7" s="18">
        <v>0</v>
      </c>
      <c r="J7" s="18">
        <v>0</v>
      </c>
      <c r="K7" s="18">
        <v>0</v>
      </c>
      <c r="L7" s="18">
        <v>0</v>
      </c>
      <c r="M7" s="18">
        <v>0</v>
      </c>
      <c r="N7" s="18">
        <v>1</v>
      </c>
      <c r="O7" s="18">
        <v>1</v>
      </c>
      <c r="P7" s="32">
        <v>0</v>
      </c>
    </row>
    <row r="8" spans="1:16" x14ac:dyDescent="0.25">
      <c r="A8" s="29" t="s">
        <v>3</v>
      </c>
      <c r="B8" s="22">
        <v>0</v>
      </c>
      <c r="C8" s="23">
        <v>1</v>
      </c>
      <c r="D8" s="23">
        <v>1</v>
      </c>
      <c r="E8" s="24">
        <v>1</v>
      </c>
      <c r="F8" s="18">
        <v>0</v>
      </c>
      <c r="G8" s="18">
        <v>1</v>
      </c>
      <c r="H8" s="18">
        <v>0</v>
      </c>
      <c r="I8" s="18">
        <v>1</v>
      </c>
      <c r="J8" s="18">
        <v>0</v>
      </c>
      <c r="K8" s="18">
        <v>0</v>
      </c>
      <c r="L8" s="18">
        <v>0</v>
      </c>
      <c r="M8" s="18">
        <v>0</v>
      </c>
      <c r="N8" s="18">
        <v>1</v>
      </c>
      <c r="O8" s="18">
        <v>0</v>
      </c>
      <c r="P8" s="32">
        <v>0</v>
      </c>
    </row>
    <row r="9" spans="1:16" x14ac:dyDescent="0.25">
      <c r="A9" s="29" t="s">
        <v>4</v>
      </c>
      <c r="B9" s="22">
        <v>1</v>
      </c>
      <c r="C9" s="23">
        <v>1</v>
      </c>
      <c r="D9" s="23">
        <v>0</v>
      </c>
      <c r="E9" s="24">
        <v>0</v>
      </c>
      <c r="F9" s="18">
        <v>0</v>
      </c>
      <c r="G9" s="25">
        <v>0</v>
      </c>
      <c r="H9" s="18">
        <v>0</v>
      </c>
      <c r="I9" s="18">
        <v>1</v>
      </c>
      <c r="J9" s="18">
        <v>1</v>
      </c>
      <c r="K9" s="18">
        <v>0</v>
      </c>
      <c r="L9" s="18">
        <v>0</v>
      </c>
      <c r="M9" s="18">
        <v>0</v>
      </c>
      <c r="N9" s="18">
        <v>1</v>
      </c>
      <c r="O9" s="18">
        <v>0</v>
      </c>
      <c r="P9" s="32">
        <v>0</v>
      </c>
    </row>
    <row r="10" spans="1:16" x14ac:dyDescent="0.25">
      <c r="A10" s="29" t="s">
        <v>76</v>
      </c>
      <c r="B10" s="22">
        <v>1</v>
      </c>
      <c r="C10" s="23">
        <v>1</v>
      </c>
      <c r="D10" s="23">
        <v>0</v>
      </c>
      <c r="E10" s="24">
        <v>0</v>
      </c>
      <c r="F10" s="18">
        <v>1</v>
      </c>
      <c r="G10" s="18">
        <v>1</v>
      </c>
      <c r="H10" s="18">
        <v>0</v>
      </c>
      <c r="I10" s="18">
        <v>1</v>
      </c>
      <c r="J10" s="18">
        <v>0</v>
      </c>
      <c r="K10" s="18">
        <v>0</v>
      </c>
      <c r="L10" s="18">
        <v>0</v>
      </c>
      <c r="M10" s="18">
        <v>0</v>
      </c>
      <c r="N10" s="18">
        <v>1</v>
      </c>
      <c r="O10" s="18">
        <v>1</v>
      </c>
      <c r="P10" s="32">
        <v>0</v>
      </c>
    </row>
    <row r="11" spans="1:16" x14ac:dyDescent="0.25">
      <c r="A11" s="29" t="s">
        <v>5</v>
      </c>
      <c r="B11" s="22">
        <v>1</v>
      </c>
      <c r="C11" s="23">
        <v>0</v>
      </c>
      <c r="D11" s="23">
        <v>0</v>
      </c>
      <c r="E11" s="24">
        <v>0</v>
      </c>
      <c r="F11" s="18">
        <v>0</v>
      </c>
      <c r="G11" s="25">
        <v>0</v>
      </c>
      <c r="H11" s="18">
        <v>0</v>
      </c>
      <c r="I11" s="18">
        <v>0</v>
      </c>
      <c r="J11" s="18">
        <v>1</v>
      </c>
      <c r="K11" s="18">
        <v>0</v>
      </c>
      <c r="L11" s="18">
        <v>0</v>
      </c>
      <c r="M11" s="18">
        <v>0</v>
      </c>
      <c r="N11" s="18">
        <v>1</v>
      </c>
      <c r="O11" s="18">
        <v>0</v>
      </c>
      <c r="P11" s="32">
        <v>0</v>
      </c>
    </row>
    <row r="12" spans="1:16" x14ac:dyDescent="0.25">
      <c r="A12" s="29" t="s">
        <v>77</v>
      </c>
      <c r="B12" s="22">
        <v>1</v>
      </c>
      <c r="C12" s="23">
        <v>0</v>
      </c>
      <c r="D12" s="23">
        <v>0</v>
      </c>
      <c r="E12" s="24">
        <v>0</v>
      </c>
      <c r="F12" s="18">
        <v>1</v>
      </c>
      <c r="G12" s="18">
        <v>1</v>
      </c>
      <c r="H12" s="18">
        <v>0</v>
      </c>
      <c r="I12" s="18">
        <v>0</v>
      </c>
      <c r="J12" s="21">
        <v>0</v>
      </c>
      <c r="K12" s="18">
        <v>1</v>
      </c>
      <c r="L12" s="18">
        <v>0</v>
      </c>
      <c r="M12" s="18">
        <v>0</v>
      </c>
      <c r="N12" s="18">
        <v>0</v>
      </c>
      <c r="O12" s="18">
        <v>1</v>
      </c>
      <c r="P12" s="32">
        <v>1</v>
      </c>
    </row>
    <row r="13" spans="1:16" x14ac:dyDescent="0.25">
      <c r="A13" s="29" t="s">
        <v>31</v>
      </c>
      <c r="B13" s="22">
        <v>1</v>
      </c>
      <c r="C13" s="23">
        <v>1</v>
      </c>
      <c r="D13" s="23">
        <v>1</v>
      </c>
      <c r="E13" s="24">
        <v>0</v>
      </c>
      <c r="F13" s="18">
        <v>0</v>
      </c>
      <c r="G13" s="25">
        <v>0</v>
      </c>
      <c r="H13" s="18">
        <v>0</v>
      </c>
      <c r="I13" s="18">
        <v>0</v>
      </c>
      <c r="J13" s="18">
        <v>1</v>
      </c>
      <c r="K13" s="18">
        <v>0</v>
      </c>
      <c r="L13" s="18">
        <v>0</v>
      </c>
      <c r="M13" s="18">
        <v>1</v>
      </c>
      <c r="N13" s="18">
        <v>1</v>
      </c>
      <c r="O13" s="18">
        <v>0</v>
      </c>
      <c r="P13" s="32">
        <v>0</v>
      </c>
    </row>
    <row r="14" spans="1:16" x14ac:dyDescent="0.25">
      <c r="A14" s="29" t="s">
        <v>78</v>
      </c>
      <c r="B14" s="22">
        <v>1</v>
      </c>
      <c r="C14" s="23">
        <v>1</v>
      </c>
      <c r="D14" s="23">
        <v>1</v>
      </c>
      <c r="E14" s="24">
        <v>0</v>
      </c>
      <c r="F14" s="18">
        <v>1</v>
      </c>
      <c r="G14" s="18">
        <v>1</v>
      </c>
      <c r="H14" s="18">
        <v>0</v>
      </c>
      <c r="I14" s="18">
        <v>0</v>
      </c>
      <c r="J14" s="18">
        <v>0</v>
      </c>
      <c r="K14" s="18">
        <v>1</v>
      </c>
      <c r="L14" s="18">
        <v>0</v>
      </c>
      <c r="M14" s="18">
        <v>1</v>
      </c>
      <c r="N14" s="18">
        <v>0</v>
      </c>
      <c r="O14" s="18">
        <v>1</v>
      </c>
      <c r="P14" s="32">
        <v>1</v>
      </c>
    </row>
    <row r="15" spans="1:16" x14ac:dyDescent="0.25">
      <c r="A15" s="29" t="s">
        <v>6</v>
      </c>
      <c r="B15" s="22">
        <v>0</v>
      </c>
      <c r="C15" s="23">
        <v>1</v>
      </c>
      <c r="D15" s="23">
        <v>1</v>
      </c>
      <c r="E15" s="24">
        <v>0</v>
      </c>
      <c r="F15" s="18">
        <v>0</v>
      </c>
      <c r="G15" s="18">
        <v>1</v>
      </c>
      <c r="H15" s="18">
        <v>0</v>
      </c>
      <c r="I15" s="18">
        <v>0</v>
      </c>
      <c r="J15" s="18">
        <v>0</v>
      </c>
      <c r="K15" s="18">
        <v>0</v>
      </c>
      <c r="L15" s="18">
        <v>1</v>
      </c>
      <c r="M15" s="18">
        <v>0</v>
      </c>
      <c r="N15" s="18">
        <v>0</v>
      </c>
      <c r="O15" s="18">
        <v>0</v>
      </c>
      <c r="P15" s="32">
        <v>1</v>
      </c>
    </row>
    <row r="16" spans="1:16" x14ac:dyDescent="0.25">
      <c r="A16" s="33" t="s">
        <v>11</v>
      </c>
      <c r="B16" s="34">
        <v>0</v>
      </c>
      <c r="C16" s="35">
        <v>0</v>
      </c>
      <c r="D16" s="35">
        <v>0</v>
      </c>
      <c r="E16" s="36">
        <v>1</v>
      </c>
      <c r="F16" s="37">
        <v>0</v>
      </c>
      <c r="G16" s="37">
        <v>1</v>
      </c>
      <c r="H16" s="37">
        <v>0</v>
      </c>
      <c r="I16" s="37">
        <v>0</v>
      </c>
      <c r="J16" s="37">
        <v>0</v>
      </c>
      <c r="K16" s="37">
        <v>0</v>
      </c>
      <c r="L16" s="37">
        <v>0</v>
      </c>
      <c r="M16" s="37">
        <v>0</v>
      </c>
      <c r="N16" s="37">
        <v>1</v>
      </c>
      <c r="O16" s="37">
        <v>0</v>
      </c>
      <c r="P16" s="38">
        <v>0</v>
      </c>
    </row>
    <row r="20" spans="12:12" x14ac:dyDescent="0.25">
      <c r="L20" t="s">
        <v>90</v>
      </c>
    </row>
    <row r="21" spans="12:12" x14ac:dyDescent="0.25">
      <c r="L21" t="s">
        <v>91</v>
      </c>
    </row>
  </sheetData>
  <mergeCells count="1">
    <mergeCell ref="A1:D2"/>
  </mergeCells>
  <conditionalFormatting sqref="G5:N16 O14">
    <cfRule type="cellIs" dxfId="3" priority="2" operator="greaterThan">
      <formula>0.5</formula>
    </cfRule>
  </conditionalFormatting>
  <conditionalFormatting sqref="N5:P16">
    <cfRule type="cellIs" dxfId="2" priority="1" operator="greaterThan">
      <formula>0.5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Readme</vt:lpstr>
      <vt:lpstr>Task List</vt:lpstr>
      <vt:lpstr>ISA Truth Table</vt:lpstr>
      <vt:lpstr>ISA TT</vt:lpstr>
      <vt:lpstr>HLBD</vt:lpstr>
      <vt:lpstr>Compiler</vt:lpstr>
      <vt:lpstr>Test Benches</vt:lpstr>
      <vt:lpstr>TT r2</vt:lpstr>
      <vt:lpstr>TT r3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 Thomas</dc:creator>
  <cp:lastModifiedBy>Luke Thomas</cp:lastModifiedBy>
  <cp:lastPrinted>2018-06-01T22:21:24Z</cp:lastPrinted>
  <dcterms:created xsi:type="dcterms:W3CDTF">2018-01-19T00:54:12Z</dcterms:created>
  <dcterms:modified xsi:type="dcterms:W3CDTF">2019-10-11T00:11:03Z</dcterms:modified>
</cp:coreProperties>
</file>